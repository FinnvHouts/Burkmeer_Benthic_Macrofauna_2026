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erman\Desktop\BP\"/>
    </mc:Choice>
  </mc:AlternateContent>
  <xr:revisionPtr revIDLastSave="0" documentId="8_{0882CEB6-E328-4F25-ABA0-C45B154531A2}" xr6:coauthVersionLast="47" xr6:coauthVersionMax="47" xr10:uidLastSave="{00000000-0000-0000-0000-000000000000}"/>
  <bookViews>
    <workbookView xWindow="-108" yWindow="-108" windowWidth="41496" windowHeight="17496" xr2:uid="{00000000-000D-0000-FFFF-FFFF00000000}"/>
  </bookViews>
  <sheets>
    <sheet name="Database" sheetId="5" r:id="rId1"/>
    <sheet name="Taxonlist" sheetId="4" r:id="rId2"/>
    <sheet name="Raw_Data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N26" i="2"/>
  <c r="H26" i="2" s="1"/>
  <c r="W25" i="2"/>
  <c r="H25" i="2" s="1"/>
  <c r="P24" i="2"/>
  <c r="H24" i="2" s="1"/>
  <c r="X22" i="2"/>
  <c r="H22" i="2" s="1"/>
  <c r="N20" i="2"/>
  <c r="AA21" i="2"/>
  <c r="W21" i="2"/>
  <c r="U21" i="2"/>
  <c r="N21" i="2"/>
  <c r="L21" i="2"/>
  <c r="V20" i="2"/>
  <c r="M20" i="2"/>
  <c r="AC19" i="2"/>
  <c r="AA19" i="2"/>
  <c r="W19" i="2"/>
  <c r="U19" i="2"/>
  <c r="N19" i="2"/>
  <c r="M19" i="2"/>
  <c r="W10" i="2"/>
  <c r="H10" i="2" s="1"/>
  <c r="W5" i="2"/>
  <c r="H5" i="2" s="1"/>
  <c r="H23" i="2"/>
  <c r="H18" i="2"/>
  <c r="H17" i="2"/>
  <c r="H16" i="2"/>
  <c r="H15" i="2"/>
  <c r="H14" i="2"/>
  <c r="H13" i="2"/>
  <c r="H12" i="2"/>
  <c r="H11" i="2"/>
  <c r="H9" i="2"/>
  <c r="H8" i="2"/>
  <c r="H7" i="2"/>
  <c r="H6" i="2"/>
  <c r="H4" i="2"/>
  <c r="H3" i="2"/>
  <c r="H19" i="2" l="1"/>
  <c r="H20" i="2"/>
  <c r="H21" i="2"/>
</calcChain>
</file>

<file path=xl/sharedStrings.xml><?xml version="1.0" encoding="utf-8"?>
<sst xmlns="http://schemas.openxmlformats.org/spreadsheetml/2006/main" count="2270" uniqueCount="180">
  <si>
    <t>Gammaridae</t>
  </si>
  <si>
    <t>Lat</t>
  </si>
  <si>
    <t>Lon</t>
  </si>
  <si>
    <t>Phylum</t>
  </si>
  <si>
    <t>Class</t>
  </si>
  <si>
    <t>Order</t>
  </si>
  <si>
    <t>Family</t>
  </si>
  <si>
    <t xml:space="preserve"> Genus</t>
  </si>
  <si>
    <t>Arthropoda</t>
  </si>
  <si>
    <t>Insecta</t>
  </si>
  <si>
    <t>Annelida</t>
  </si>
  <si>
    <t>Mollusca</t>
  </si>
  <si>
    <t xml:space="preserve"> FFG</t>
  </si>
  <si>
    <t>Clitellata</t>
  </si>
  <si>
    <t>Hemiptera</t>
  </si>
  <si>
    <t>Micronectidae</t>
  </si>
  <si>
    <t>Notonectidae</t>
  </si>
  <si>
    <t>Corixidae</t>
  </si>
  <si>
    <t>Coleoptera</t>
  </si>
  <si>
    <t>Noteridae</t>
  </si>
  <si>
    <t xml:space="preserve">	Malacostraca</t>
  </si>
  <si>
    <t>Amphipoda</t>
  </si>
  <si>
    <t>Lumbriculidae</t>
  </si>
  <si>
    <t>Heteroptera</t>
  </si>
  <si>
    <t>Suborder</t>
  </si>
  <si>
    <t>Species</t>
  </si>
  <si>
    <t>Diptera</t>
  </si>
  <si>
    <t>Chironomidae</t>
  </si>
  <si>
    <t>Adephaga</t>
  </si>
  <si>
    <t>Taxon</t>
  </si>
  <si>
    <t>Dreissena</t>
  </si>
  <si>
    <t>Sphaerium</t>
  </si>
  <si>
    <t>Hirudinea</t>
  </si>
  <si>
    <t>bugensis</t>
  </si>
  <si>
    <t>Pisidium</t>
  </si>
  <si>
    <t>Bivalvia</t>
  </si>
  <si>
    <t>Sphaeriida</t>
  </si>
  <si>
    <t>Sphaeriidae</t>
  </si>
  <si>
    <t>Podocopida</t>
  </si>
  <si>
    <t>Trombidiformes</t>
  </si>
  <si>
    <t>Senticaudata</t>
  </si>
  <si>
    <t>Diksprietwaterkever</t>
  </si>
  <si>
    <t>Vlokreeft</t>
  </si>
  <si>
    <t>Quagga Driehoeksmossel</t>
  </si>
  <si>
    <t>Erwtenmossel</t>
  </si>
  <si>
    <t>Hoornschaal</t>
  </si>
  <si>
    <t>Watervlo</t>
  </si>
  <si>
    <t>Keverlarve</t>
  </si>
  <si>
    <t>Branchiopoda</t>
  </si>
  <si>
    <t>Anomopoda</t>
  </si>
  <si>
    <t>Daphniidae</t>
  </si>
  <si>
    <t>Daphnia</t>
  </si>
  <si>
    <t>Arachnida</t>
  </si>
  <si>
    <t>Ostracoda</t>
  </si>
  <si>
    <t>Myida</t>
  </si>
  <si>
    <t>Dreissenidae</t>
  </si>
  <si>
    <t>Gasteropoda</t>
  </si>
  <si>
    <t>Lumbriculida</t>
  </si>
  <si>
    <t>Bootsmannetje</t>
  </si>
  <si>
    <t>Muggenlarve</t>
  </si>
  <si>
    <t>Dansmuggenlarve</t>
  </si>
  <si>
    <t>Slak</t>
  </si>
  <si>
    <t>Mosselkreeft</t>
  </si>
  <si>
    <t>Bloedzuiger</t>
  </si>
  <si>
    <t>Mijt</t>
  </si>
  <si>
    <t>Abundance</t>
  </si>
  <si>
    <t>Dwergduikerwants</t>
  </si>
  <si>
    <t>Duikerwants</t>
  </si>
  <si>
    <t xml:space="preserve">  </t>
  </si>
  <si>
    <t>NA</t>
  </si>
  <si>
    <t>CG</t>
  </si>
  <si>
    <t>Ft</t>
  </si>
  <si>
    <t>Pr</t>
  </si>
  <si>
    <t>Sh</t>
  </si>
  <si>
    <t>Sc</t>
  </si>
  <si>
    <t>Dt</t>
  </si>
  <si>
    <t>Hb</t>
  </si>
  <si>
    <t>Date</t>
  </si>
  <si>
    <t>Location</t>
  </si>
  <si>
    <t>Method</t>
  </si>
  <si>
    <t>Total</t>
  </si>
  <si>
    <t>Paludiculture</t>
  </si>
  <si>
    <t>Drained</t>
  </si>
  <si>
    <t>Ilperveld</t>
  </si>
  <si>
    <t>Rivierkreeft</t>
  </si>
  <si>
    <t>Waterpissebed</t>
  </si>
  <si>
    <t>Waterspin</t>
  </si>
  <si>
    <t>Copepoda</t>
  </si>
  <si>
    <t>Springstaartje</t>
  </si>
  <si>
    <t>Ringworm Lumbriculidae</t>
  </si>
  <si>
    <t>Cyclopoida</t>
  </si>
  <si>
    <t>Malacostraca</t>
  </si>
  <si>
    <t>Isopoda</t>
  </si>
  <si>
    <t>Asellidae</t>
  </si>
  <si>
    <t>Asellus</t>
  </si>
  <si>
    <t>aquaticus</t>
  </si>
  <si>
    <t>Zeepokken</t>
  </si>
  <si>
    <t>Collembola</t>
  </si>
  <si>
    <t>Entomobryomorpha</t>
  </si>
  <si>
    <t>Thecostracea</t>
  </si>
  <si>
    <t>Sessilia</t>
  </si>
  <si>
    <t>Decapoda</t>
  </si>
  <si>
    <t>Astacidea</t>
  </si>
  <si>
    <t>Astacidae</t>
  </si>
  <si>
    <t>Araneae</t>
  </si>
  <si>
    <t>Araneomorphae</t>
  </si>
  <si>
    <t>Dictynidae</t>
  </si>
  <si>
    <t>Argyroneta</t>
  </si>
  <si>
    <t>aquatica</t>
  </si>
  <si>
    <t>Odonata</t>
  </si>
  <si>
    <t>Glassnijder larve</t>
  </si>
  <si>
    <t>Anisoptera</t>
  </si>
  <si>
    <t>Aeshnidae</t>
  </si>
  <si>
    <t>Brachytron</t>
  </si>
  <si>
    <t>pratense</t>
  </si>
  <si>
    <t>Juffer larve</t>
  </si>
  <si>
    <t>Zygoptera</t>
  </si>
  <si>
    <t>Sluipwesp</t>
  </si>
  <si>
    <t>Hymenoptera</t>
  </si>
  <si>
    <t>Apocrita</t>
  </si>
  <si>
    <t>Bladkever</t>
  </si>
  <si>
    <t>Polyphaga</t>
  </si>
  <si>
    <t>Chrysomelidae</t>
  </si>
  <si>
    <t>Donacia</t>
  </si>
  <si>
    <t>clavipes</t>
  </si>
  <si>
    <t>Snuitkever</t>
  </si>
  <si>
    <t>Curculionidae</t>
  </si>
  <si>
    <t>Krab</t>
  </si>
  <si>
    <t>Brachyura</t>
  </si>
  <si>
    <t>Schrijvertje</t>
  </si>
  <si>
    <t>Gyrinidae</t>
  </si>
  <si>
    <t>Vijverloper</t>
  </si>
  <si>
    <t>Hydrometeridae</t>
  </si>
  <si>
    <t>Hydrometra</t>
  </si>
  <si>
    <t>stagnorum</t>
  </si>
  <si>
    <t>Haftenlarve</t>
  </si>
  <si>
    <t>Ephemeroptera</t>
  </si>
  <si>
    <t>Caenidae</t>
  </si>
  <si>
    <t>Sample</t>
  </si>
  <si>
    <t>Net</t>
  </si>
  <si>
    <t>Val</t>
  </si>
  <si>
    <t>Liocranidae</t>
  </si>
  <si>
    <t>ID</t>
  </si>
  <si>
    <t>Naam</t>
  </si>
  <si>
    <t>Dreissna bugensis</t>
  </si>
  <si>
    <t>Hydrachnidae</t>
  </si>
  <si>
    <t>Asellus aquaticus</t>
  </si>
  <si>
    <t>Coleoptera larvae</t>
  </si>
  <si>
    <t>Diptera larvae</t>
  </si>
  <si>
    <t>Chironomidae larvae</t>
  </si>
  <si>
    <t>Argyroneta aquatica</t>
  </si>
  <si>
    <r>
      <rPr>
        <i/>
        <sz val="11"/>
        <color theme="1"/>
        <rFont val="Aptos Narrow"/>
        <family val="2"/>
        <scheme val="minor"/>
      </rPr>
      <t>Brachytron pratense</t>
    </r>
    <r>
      <rPr>
        <sz val="11"/>
        <color theme="1"/>
        <rFont val="Aptos Narrow"/>
        <family val="2"/>
        <scheme val="minor"/>
      </rPr>
      <t xml:space="preserve"> larvae</t>
    </r>
  </si>
  <si>
    <t>Zygoptera larvae</t>
  </si>
  <si>
    <t>Donacia clavipes</t>
  </si>
  <si>
    <t>Hydrometra stagnorum</t>
  </si>
  <si>
    <t>Spin</t>
  </si>
  <si>
    <t>ND1</t>
  </si>
  <si>
    <t>ND2</t>
  </si>
  <si>
    <t>ND3</t>
  </si>
  <si>
    <t>ND4</t>
  </si>
  <si>
    <t>NP1</t>
  </si>
  <si>
    <t>NP2</t>
  </si>
  <si>
    <t>NP3</t>
  </si>
  <si>
    <t>NP4</t>
  </si>
  <si>
    <t>NI1</t>
  </si>
  <si>
    <t>NI2</t>
  </si>
  <si>
    <t>NI3</t>
  </si>
  <si>
    <t>NI4</t>
  </si>
  <si>
    <t>VD1</t>
  </si>
  <si>
    <t>VD2</t>
  </si>
  <si>
    <t>VD3</t>
  </si>
  <si>
    <t>VD4</t>
  </si>
  <si>
    <t>VP1</t>
  </si>
  <si>
    <t>VP2</t>
  </si>
  <si>
    <t>VP3</t>
  </si>
  <si>
    <t>VP4</t>
  </si>
  <si>
    <t>VI1</t>
  </si>
  <si>
    <t>VI2</t>
  </si>
  <si>
    <t>VI3</t>
  </si>
  <si>
    <t>VI4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</si>
</sst>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4" fillId="0" borderId="0" xfId="0" applyFont="1"/>
  </cellXfs>
  <cellStyles count="1">
    <cellStyle name="Normal" xfId="0" builtinId="0"/>
  </cellStyles>
  <dxfs count="16">
    <dxf>
      <numFmt numFmtId="165" formatCode="dd/mm/yyyy"/>
    </dxf>
    <dxf>
      <numFmt numFmtId="165" formatCode="dd/mm/yyyy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C1D12A3-B820-4DC6-BDAA-9EF51A7CF1F6}" name="Database" displayName="Database" ref="A1:P153" totalsRowShown="0">
  <autoFilter ref="A1:P153" xr:uid="{EC1D12A3-B820-4DC6-BDAA-9EF51A7CF1F6}"/>
  <tableColumns count="16">
    <tableColumn id="3" xr3:uid="{21C930E7-149B-4483-824F-72B9DACD9A27}" name="ID" dataDxfId="15"/>
    <tableColumn id="2" xr3:uid="{2B5FD88D-7052-461D-B37C-E3877901740A}" name="Method" dataDxfId="14"/>
    <tableColumn id="4" xr3:uid="{94F79471-164B-468D-AE1B-B8A2BBE3C9F9}" name="Location" dataDxfId="13"/>
    <tableColumn id="1" xr3:uid="{4209091B-BAC7-47C8-8F97-78FE06193942}" name="Sample"/>
    <tableColumn id="5" xr3:uid="{C6B995CD-D805-4C4C-9FD7-11F5EBCB4629}" name="Lat" dataDxfId="12"/>
    <tableColumn id="6" xr3:uid="{99B3FA63-D75F-4924-BC7C-5220075C4F26}" name="Lon"/>
    <tableColumn id="7" xr3:uid="{D2BA36CD-06B1-481E-81C1-EFC81024BAD6}" name="Taxon"/>
    <tableColumn id="8" xr3:uid="{AF0E37CE-7DD5-459B-8245-289549568229}" name="Phylum" dataDxfId="11"/>
    <tableColumn id="9" xr3:uid="{A38EE35C-A2A8-4C0C-87AB-570A645A1253}" name="Class"/>
    <tableColumn id="10" xr3:uid="{2F1AA3E1-9BDB-4ABE-BA49-2D742F5AE717}" name="Order"/>
    <tableColumn id="11" xr3:uid="{F4A53D51-F5B1-47B2-96FC-1E704C98E7CE}" name="Suborder"/>
    <tableColumn id="12" xr3:uid="{5D3406EF-1A9A-4D8D-BC09-51BE2732C66A}" name="Family"/>
    <tableColumn id="13" xr3:uid="{C1CCF677-02D0-4D1F-B7AA-83AD62C66D9A}" name=" Genus"/>
    <tableColumn id="14" xr3:uid="{8C4A43D0-AAC0-4816-8281-EF8E20BE2189}" name="Species"/>
    <tableColumn id="15" xr3:uid="{3968956E-9F79-497F-9FC3-3AAA2A028D40}" name=" FFG"/>
    <tableColumn id="16" xr3:uid="{61F9E1DB-7601-4B1E-99E4-6F83152840B0}" name="Abundance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748AD2-BF7F-4B64-9642-84ABD4863380}" name="Taxontable" displayName="Taxontable" ref="A1:J34" totalsRowShown="0">
  <autoFilter ref="A1:J34" xr:uid="{1F748AD2-BF7F-4B64-9642-84ABD4863380}"/>
  <tableColumns count="10">
    <tableColumn id="1" xr3:uid="{819D2963-EBCF-48D5-A870-4F69B816881F}" name="Naam" dataDxfId="9"/>
    <tableColumn id="10" xr3:uid="{1B9FB646-0809-4EB9-8E0F-10B580DC35B9}" name="Taxon" dataDxfId="8"/>
    <tableColumn id="2" xr3:uid="{F3D4E717-3A5D-4DC9-A3DB-E6DB62460954}" name="Phylum"/>
    <tableColumn id="3" xr3:uid="{A26B411F-9D1E-4824-989F-C2F92E6FA85E}" name="Class"/>
    <tableColumn id="4" xr3:uid="{4E2B1A44-77DF-4B2C-BA67-5965E78B143E}" name="Order"/>
    <tableColumn id="5" xr3:uid="{174F67B3-8685-4337-991A-88E5BEEDD4F1}" name="Suborder"/>
    <tableColumn id="6" xr3:uid="{7C248D06-4EEE-4DCA-A0B6-75ADF4C05F95}" name="Family"/>
    <tableColumn id="7" xr3:uid="{9A20E88A-FEFF-4E81-8645-22B108D286D0}" name=" Genus"/>
    <tableColumn id="8" xr3:uid="{C34C385D-CCDA-4C43-9CA3-070DEEFC481D}" name="Species"/>
    <tableColumn id="9" xr3:uid="{41280B56-6219-4CD4-8D31-6B4442B88A96}" name=" FFG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C69185-DC8E-4965-861B-78BA0B984C5E}" name="Data" displayName="Data" ref="A2:AO26" totalsRowShown="0" headerRowDxfId="7">
  <autoFilter ref="A2:AO26" xr:uid="{E9C69185-DC8E-4965-861B-78BA0B984C5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</autoFilter>
  <tableColumns count="41">
    <tableColumn id="3" xr3:uid="{645B9236-061A-48A4-8547-4CC0E19904BF}" name="ID" dataDxfId="6">
      <calculatedColumnFormula>_xlfn.CONCAT(LEFT(Data[[#This Row],[Method]]),LEFT(Data[[#This Row],[Location]]),Data[[#This Row],[Sample]])</calculatedColumnFormula>
    </tableColumn>
    <tableColumn id="34" xr3:uid="{DCCDBDDB-0A27-4009-BF23-131587E095F2}" name="Method"/>
    <tableColumn id="33" xr3:uid="{279FCC7C-3639-4ECE-99DF-881FB95FA351}" name="Location"/>
    <tableColumn id="50" xr3:uid="{66CBAA56-25C7-4607-ADBF-8393E78870BE}" name="Sample"/>
    <tableColumn id="31" xr3:uid="{4019737F-3E51-4C68-9A82-EEE80FB41FFB}" name="Lat" dataDxfId="5" totalsRowDxfId="4"/>
    <tableColumn id="32" xr3:uid="{15D3C29F-3E0D-4CCD-BABC-C7258189AB1A}" name="Lon" dataDxfId="3" totalsRowDxfId="2"/>
    <tableColumn id="2" xr3:uid="{A797956A-3C94-455D-BD54-498ABEC2E5A9}" name="Date" dataDxfId="1" totalsRowDxfId="0"/>
    <tableColumn id="24" xr3:uid="{1FDFCFDF-A731-4FBA-A422-5F0ECAAC781C}" name="Total">
      <calculatedColumnFormula>SUM(I3:BM3)</calculatedColumnFormula>
    </tableColumn>
    <tableColumn id="6" xr3:uid="{0BC85979-65E1-4402-8F42-0B20F28619BA}" name="Micronectidae"/>
    <tableColumn id="7" xr3:uid="{3D0ED3CD-F523-4DC5-91E2-C232AA62FC31}" name="Notonectidae"/>
    <tableColumn id="8" xr3:uid="{E08C4C1B-F25A-49A6-9087-A608ED2D60F7}" name="Corixidae"/>
    <tableColumn id="26" xr3:uid="{C38EEEB0-F8EB-424C-9ABD-644380E4148B}" name="Noteridae"/>
    <tableColumn id="16" xr3:uid="{0CB87AA4-9E14-4C06-BEBE-63C8364F6DF4}" name="Gammaridae"/>
    <tableColumn id="11" xr3:uid="{9851314F-C328-479A-9BB1-F9B95BC6C7E9}" name="Lumbriculidae"/>
    <tableColumn id="36" xr3:uid="{6E3C80F3-FBDE-468D-A125-FBF63D520A72}" name="Diptera larvae"/>
    <tableColumn id="25" xr3:uid="{0A8E2C7C-C883-4C48-AF4B-2F6D13659BCA}" name="Chironomidae larvae"/>
    <tableColumn id="14" xr3:uid="{A23E8648-B50F-4BF1-AFCD-69076BCAE683}" name="Gasteropoda"/>
    <tableColumn id="15" xr3:uid="{6CF50542-D299-414C-AEE8-6019308079BF}" name="Dreissna bugensis"/>
    <tableColumn id="18" xr3:uid="{8DF29128-66BC-42EC-A3EA-13927BB208ED}" name="Pisidium"/>
    <tableColumn id="19" xr3:uid="{6CC03E0B-3CB9-4972-A12A-B58C85C1DBA1}" name="Sphaerium"/>
    <tableColumn id="20" xr3:uid="{A1380661-E008-4C01-BFD0-5ED42939FB17}" name="Podocopida"/>
    <tableColumn id="21" xr3:uid="{439EE8EF-BA66-41DD-BA03-E832272C3F60}" name="Hirudinea"/>
    <tableColumn id="22" xr3:uid="{060F7484-A07D-4EF4-9555-287FD1E5AAC5}" name="Anomopoda"/>
    <tableColumn id="10" xr3:uid="{BD3A407F-09D8-4654-AFA9-99DBCE39FBC6}" name="Cyclopoida"/>
    <tableColumn id="23" xr3:uid="{8379FE70-096B-4404-A9AA-02F2499FA01E}" name="Hydrachnidae"/>
    <tableColumn id="29" xr3:uid="{0A93B501-9864-4175-AAC3-8B38CB83F8DB}" name="Asellus aquaticus"/>
    <tableColumn id="30" xr3:uid="{A787CAB0-54AF-436C-9671-CE01D300BFB9}" name="Coleoptera larvae"/>
    <tableColumn id="28" xr3:uid="{F722D94F-32DF-4132-A79E-8B372B7C2F2F}" name="Astacidae"/>
    <tableColumn id="37" xr3:uid="{7D309626-2D97-44FC-9EAF-6D23EE24B281}" name="Collembola"/>
    <tableColumn id="38" xr3:uid="{AA6DC1DF-D4CB-43CB-AD2F-C00F14BF1FC1}" name="Argyroneta aquatica"/>
    <tableColumn id="39" xr3:uid="{24A1C056-BB98-4C50-8B27-C586E80C4226}" name="Sessilia"/>
    <tableColumn id="40" xr3:uid="{1B981932-2262-4478-97BE-25A4B2717AEE}" name="Brachytron pratense larvae"/>
    <tableColumn id="41" xr3:uid="{F07EFCC8-9322-4B2A-A50A-387E1333D21A}" name="Zygoptera larvae"/>
    <tableColumn id="42" xr3:uid="{4C887DE3-6CF8-40F6-8057-08DE87B02226}" name="Apocrita"/>
    <tableColumn id="43" xr3:uid="{76C8A162-1A4A-406C-B214-9E651FF46ED2}" name="Donacia clavipes"/>
    <tableColumn id="44" xr3:uid="{5A2835B7-AABD-49AB-9381-79B32C7476DD}" name="Curculionidae"/>
    <tableColumn id="45" xr3:uid="{D84F4A18-B30E-4BB4-B386-BAC2A870D907}" name="Brachyura"/>
    <tableColumn id="46" xr3:uid="{C116A2D9-EC7C-43A5-9D3E-7A7965B88993}" name="Gyrinidae"/>
    <tableColumn id="47" xr3:uid="{C78B8B8E-1742-41CD-840C-C47D31D267DF}" name="Hydrometra stagnorum"/>
    <tableColumn id="48" xr3:uid="{A753FFA3-CDFE-4688-AE12-41111172F570}" name="Caenidae"/>
    <tableColumn id="1" xr3:uid="{7F7225B3-6E98-4E3D-A2CC-78F80B45346D}" name="Liocranida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A7465-8A1D-4209-8D32-FAAFDCA86A00}">
  <sheetPr codeName="Sheet5">
    <tabColor rgb="FF0070C0"/>
  </sheetPr>
  <dimension ref="A1:X15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P20" sqref="P20"/>
    </sheetView>
  </sheetViews>
  <sheetFormatPr defaultRowHeight="14.4"/>
  <cols>
    <col min="1" max="1" width="19.109375" customWidth="1"/>
    <col min="2" max="2" width="10" customWidth="1"/>
    <col min="3" max="3" width="11.6640625" bestFit="1" customWidth="1"/>
    <col min="4" max="4" width="9.21875" bestFit="1" customWidth="1"/>
    <col min="5" max="5" width="5.6640625" bestFit="1" customWidth="1"/>
    <col min="6" max="6" width="6.109375" bestFit="1" customWidth="1"/>
    <col min="7" max="7" width="21.6640625" bestFit="1" customWidth="1"/>
    <col min="8" max="8" width="10" bestFit="1" customWidth="1"/>
    <col min="9" max="9" width="12.88671875" bestFit="1" customWidth="1"/>
    <col min="10" max="10" width="13.6640625" bestFit="1" customWidth="1"/>
    <col min="11" max="11" width="12.109375" bestFit="1" customWidth="1"/>
    <col min="12" max="12" width="12.5546875" bestFit="1" customWidth="1"/>
    <col min="13" max="13" width="9.6640625" bestFit="1" customWidth="1"/>
    <col min="14" max="14" width="10.44140625" bestFit="1" customWidth="1"/>
    <col min="15" max="15" width="6.5546875" customWidth="1"/>
    <col min="16" max="16" width="12.33203125" customWidth="1"/>
    <col min="19" max="19" width="7.88671875" bestFit="1" customWidth="1"/>
  </cols>
  <sheetData>
    <row r="1" spans="1:24">
      <c r="A1" t="s">
        <v>142</v>
      </c>
      <c r="B1" t="s">
        <v>79</v>
      </c>
      <c r="C1" t="s">
        <v>78</v>
      </c>
      <c r="D1" t="s">
        <v>138</v>
      </c>
      <c r="E1" t="s">
        <v>1</v>
      </c>
      <c r="F1" t="s">
        <v>2</v>
      </c>
      <c r="G1" t="s">
        <v>29</v>
      </c>
      <c r="H1" t="s">
        <v>3</v>
      </c>
      <c r="I1" t="s">
        <v>4</v>
      </c>
      <c r="J1" t="s">
        <v>5</v>
      </c>
      <c r="K1" t="s">
        <v>24</v>
      </c>
      <c r="L1" t="s">
        <v>6</v>
      </c>
      <c r="M1" t="s">
        <v>7</v>
      </c>
      <c r="N1" t="s">
        <v>25</v>
      </c>
      <c r="O1" t="s">
        <v>12</v>
      </c>
      <c r="P1" t="s">
        <v>65</v>
      </c>
      <c r="U1" s="6"/>
      <c r="X1" s="6"/>
    </row>
    <row r="2" spans="1:24">
      <c r="A2" t="s">
        <v>156</v>
      </c>
      <c r="B2" t="s">
        <v>139</v>
      </c>
      <c r="C2" t="s">
        <v>82</v>
      </c>
      <c r="D2">
        <v>1</v>
      </c>
      <c r="E2">
        <v>0</v>
      </c>
      <c r="F2">
        <v>0</v>
      </c>
      <c r="G2" t="s">
        <v>0</v>
      </c>
      <c r="H2" t="s">
        <v>8</v>
      </c>
      <c r="I2" t="s">
        <v>20</v>
      </c>
      <c r="J2" t="s">
        <v>21</v>
      </c>
      <c r="K2" t="s">
        <v>40</v>
      </c>
      <c r="L2" t="s">
        <v>0</v>
      </c>
      <c r="M2" t="s">
        <v>69</v>
      </c>
      <c r="N2" t="s">
        <v>69</v>
      </c>
      <c r="O2" t="s">
        <v>73</v>
      </c>
      <c r="P2">
        <v>4</v>
      </c>
    </row>
    <row r="3" spans="1:24">
      <c r="A3" t="s">
        <v>156</v>
      </c>
      <c r="B3" t="s">
        <v>139</v>
      </c>
      <c r="C3" t="s">
        <v>82</v>
      </c>
      <c r="D3">
        <v>1</v>
      </c>
      <c r="E3">
        <v>0</v>
      </c>
      <c r="F3">
        <v>0</v>
      </c>
      <c r="G3" t="s">
        <v>49</v>
      </c>
      <c r="H3" t="s">
        <v>8</v>
      </c>
      <c r="I3" t="s">
        <v>48</v>
      </c>
      <c r="J3" t="s">
        <v>49</v>
      </c>
      <c r="K3" t="s">
        <v>69</v>
      </c>
      <c r="L3" t="s">
        <v>50</v>
      </c>
      <c r="M3" t="s">
        <v>51</v>
      </c>
      <c r="N3" t="s">
        <v>69</v>
      </c>
      <c r="O3" t="s">
        <v>71</v>
      </c>
      <c r="P3">
        <v>543</v>
      </c>
    </row>
    <row r="4" spans="1:24">
      <c r="A4" t="s">
        <v>156</v>
      </c>
      <c r="B4" t="s">
        <v>139</v>
      </c>
      <c r="C4" t="s">
        <v>82</v>
      </c>
      <c r="D4">
        <v>1</v>
      </c>
      <c r="E4">
        <v>0</v>
      </c>
      <c r="F4">
        <v>0</v>
      </c>
      <c r="G4" t="s">
        <v>90</v>
      </c>
      <c r="H4" t="s">
        <v>8</v>
      </c>
      <c r="I4" t="s">
        <v>87</v>
      </c>
      <c r="J4" t="s">
        <v>90</v>
      </c>
      <c r="K4" t="s">
        <v>69</v>
      </c>
      <c r="L4" t="s">
        <v>69</v>
      </c>
      <c r="M4" t="s">
        <v>69</v>
      </c>
      <c r="N4" t="s">
        <v>69</v>
      </c>
      <c r="O4" t="s">
        <v>72</v>
      </c>
      <c r="P4">
        <v>1</v>
      </c>
    </row>
    <row r="5" spans="1:24">
      <c r="A5" t="s">
        <v>156</v>
      </c>
      <c r="B5" t="s">
        <v>139</v>
      </c>
      <c r="C5" t="s">
        <v>82</v>
      </c>
      <c r="D5">
        <v>1</v>
      </c>
      <c r="E5">
        <v>0</v>
      </c>
      <c r="F5">
        <v>0</v>
      </c>
      <c r="G5" t="s">
        <v>147</v>
      </c>
      <c r="H5" t="s">
        <v>8</v>
      </c>
      <c r="I5" t="s">
        <v>9</v>
      </c>
      <c r="J5" t="s">
        <v>18</v>
      </c>
      <c r="K5" t="s">
        <v>69</v>
      </c>
      <c r="L5" t="s">
        <v>69</v>
      </c>
      <c r="M5" t="s">
        <v>69</v>
      </c>
      <c r="N5" t="s">
        <v>69</v>
      </c>
      <c r="O5" t="s">
        <v>72</v>
      </c>
      <c r="P5">
        <v>4</v>
      </c>
    </row>
    <row r="6" spans="1:24">
      <c r="A6" t="s">
        <v>157</v>
      </c>
      <c r="B6" t="s">
        <v>139</v>
      </c>
      <c r="C6" t="s">
        <v>82</v>
      </c>
      <c r="D6">
        <v>2</v>
      </c>
      <c r="E6">
        <v>0</v>
      </c>
      <c r="F6">
        <v>0</v>
      </c>
      <c r="G6" t="s">
        <v>0</v>
      </c>
      <c r="H6" t="s">
        <v>8</v>
      </c>
      <c r="I6" t="s">
        <v>20</v>
      </c>
      <c r="J6" t="s">
        <v>21</v>
      </c>
      <c r="K6" t="s">
        <v>40</v>
      </c>
      <c r="L6" t="s">
        <v>0</v>
      </c>
      <c r="M6" t="s">
        <v>69</v>
      </c>
      <c r="N6" t="s">
        <v>69</v>
      </c>
      <c r="O6" t="s">
        <v>73</v>
      </c>
      <c r="P6">
        <v>2</v>
      </c>
    </row>
    <row r="7" spans="1:24">
      <c r="A7" t="s">
        <v>158</v>
      </c>
      <c r="B7" t="s">
        <v>139</v>
      </c>
      <c r="C7" t="s">
        <v>82</v>
      </c>
      <c r="D7">
        <v>3</v>
      </c>
      <c r="E7">
        <v>0</v>
      </c>
      <c r="F7">
        <v>0</v>
      </c>
      <c r="G7" t="s">
        <v>17</v>
      </c>
      <c r="H7" t="s">
        <v>8</v>
      </c>
      <c r="I7" t="s">
        <v>9</v>
      </c>
      <c r="J7" t="s">
        <v>14</v>
      </c>
      <c r="K7" t="s">
        <v>23</v>
      </c>
      <c r="L7" t="s">
        <v>17</v>
      </c>
      <c r="M7" t="s">
        <v>69</v>
      </c>
      <c r="N7" t="s">
        <v>69</v>
      </c>
      <c r="O7" t="s">
        <v>74</v>
      </c>
      <c r="P7">
        <v>4</v>
      </c>
    </row>
    <row r="8" spans="1:24">
      <c r="A8" t="s">
        <v>158</v>
      </c>
      <c r="B8" t="s">
        <v>139</v>
      </c>
      <c r="C8" t="s">
        <v>82</v>
      </c>
      <c r="D8">
        <v>3</v>
      </c>
      <c r="E8">
        <v>0</v>
      </c>
      <c r="F8">
        <v>0</v>
      </c>
      <c r="G8" t="s">
        <v>49</v>
      </c>
      <c r="H8" t="s">
        <v>8</v>
      </c>
      <c r="I8" t="s">
        <v>48</v>
      </c>
      <c r="J8" t="s">
        <v>49</v>
      </c>
      <c r="K8" t="s">
        <v>69</v>
      </c>
      <c r="L8" t="s">
        <v>50</v>
      </c>
      <c r="M8" t="s">
        <v>51</v>
      </c>
      <c r="N8" t="s">
        <v>69</v>
      </c>
      <c r="O8" t="s">
        <v>71</v>
      </c>
      <c r="P8">
        <v>243</v>
      </c>
    </row>
    <row r="9" spans="1:24">
      <c r="A9" t="s">
        <v>159</v>
      </c>
      <c r="B9" t="s">
        <v>139</v>
      </c>
      <c r="C9" t="s">
        <v>82</v>
      </c>
      <c r="D9">
        <v>4</v>
      </c>
      <c r="E9">
        <v>0</v>
      </c>
      <c r="F9">
        <v>0</v>
      </c>
      <c r="G9" t="s">
        <v>17</v>
      </c>
      <c r="H9" t="s">
        <v>8</v>
      </c>
      <c r="I9" t="s">
        <v>9</v>
      </c>
      <c r="J9" t="s">
        <v>14</v>
      </c>
      <c r="K9" t="s">
        <v>23</v>
      </c>
      <c r="L9" t="s">
        <v>17</v>
      </c>
      <c r="M9" t="s">
        <v>69</v>
      </c>
      <c r="N9" t="s">
        <v>69</v>
      </c>
      <c r="O9" t="s">
        <v>74</v>
      </c>
      <c r="P9">
        <v>2</v>
      </c>
    </row>
    <row r="10" spans="1:24">
      <c r="A10" t="s">
        <v>159</v>
      </c>
      <c r="B10" t="s">
        <v>139</v>
      </c>
      <c r="C10" t="s">
        <v>82</v>
      </c>
      <c r="D10">
        <v>4</v>
      </c>
      <c r="E10">
        <v>0</v>
      </c>
      <c r="F10">
        <v>0</v>
      </c>
      <c r="G10" t="s">
        <v>0</v>
      </c>
      <c r="H10" t="s">
        <v>8</v>
      </c>
      <c r="I10" t="s">
        <v>20</v>
      </c>
      <c r="J10" t="s">
        <v>21</v>
      </c>
      <c r="K10" t="s">
        <v>40</v>
      </c>
      <c r="L10" t="s">
        <v>0</v>
      </c>
      <c r="M10" t="s">
        <v>69</v>
      </c>
      <c r="N10" t="s">
        <v>69</v>
      </c>
      <c r="O10" t="s">
        <v>73</v>
      </c>
      <c r="P10">
        <v>11</v>
      </c>
    </row>
    <row r="11" spans="1:24">
      <c r="A11" t="s">
        <v>159</v>
      </c>
      <c r="B11" t="s">
        <v>139</v>
      </c>
      <c r="C11" t="s">
        <v>82</v>
      </c>
      <c r="D11">
        <v>4</v>
      </c>
      <c r="E11">
        <v>0</v>
      </c>
      <c r="F11">
        <v>0</v>
      </c>
      <c r="G11" t="s">
        <v>49</v>
      </c>
      <c r="H11" t="s">
        <v>8</v>
      </c>
      <c r="I11" t="s">
        <v>48</v>
      </c>
      <c r="J11" t="s">
        <v>49</v>
      </c>
      <c r="K11" t="s">
        <v>69</v>
      </c>
      <c r="L11" t="s">
        <v>50</v>
      </c>
      <c r="M11" t="s">
        <v>51</v>
      </c>
      <c r="N11" t="s">
        <v>69</v>
      </c>
      <c r="O11" t="s">
        <v>71</v>
      </c>
      <c r="P11">
        <v>1686</v>
      </c>
    </row>
    <row r="12" spans="1:24">
      <c r="A12" t="s">
        <v>159</v>
      </c>
      <c r="B12" t="s">
        <v>139</v>
      </c>
      <c r="C12" t="s">
        <v>82</v>
      </c>
      <c r="D12">
        <v>4</v>
      </c>
      <c r="E12">
        <v>0</v>
      </c>
      <c r="F12">
        <v>0</v>
      </c>
      <c r="G12" t="s">
        <v>90</v>
      </c>
      <c r="H12" t="s">
        <v>8</v>
      </c>
      <c r="I12" t="s">
        <v>87</v>
      </c>
      <c r="J12" t="s">
        <v>90</v>
      </c>
      <c r="K12" t="s">
        <v>69</v>
      </c>
      <c r="L12" t="s">
        <v>69</v>
      </c>
      <c r="M12" t="s">
        <v>69</v>
      </c>
      <c r="N12" t="s">
        <v>69</v>
      </c>
      <c r="O12" t="s">
        <v>72</v>
      </c>
      <c r="P12">
        <v>3</v>
      </c>
    </row>
    <row r="13" spans="1:24">
      <c r="A13" t="s">
        <v>160</v>
      </c>
      <c r="B13" t="s">
        <v>139</v>
      </c>
      <c r="C13" t="s">
        <v>81</v>
      </c>
      <c r="D13">
        <v>1</v>
      </c>
      <c r="E13">
        <v>0</v>
      </c>
      <c r="F13">
        <v>0</v>
      </c>
      <c r="G13" t="s">
        <v>17</v>
      </c>
      <c r="H13" t="s">
        <v>8</v>
      </c>
      <c r="I13" t="s">
        <v>9</v>
      </c>
      <c r="J13" t="s">
        <v>14</v>
      </c>
      <c r="K13" t="s">
        <v>23</v>
      </c>
      <c r="L13" t="s">
        <v>17</v>
      </c>
      <c r="M13" t="s">
        <v>69</v>
      </c>
      <c r="N13" t="s">
        <v>69</v>
      </c>
      <c r="O13" t="s">
        <v>74</v>
      </c>
      <c r="P13">
        <v>1</v>
      </c>
    </row>
    <row r="14" spans="1:24">
      <c r="A14" t="s">
        <v>160</v>
      </c>
      <c r="B14" t="s">
        <v>139</v>
      </c>
      <c r="C14" t="s">
        <v>81</v>
      </c>
      <c r="D14">
        <v>1</v>
      </c>
      <c r="E14">
        <v>0</v>
      </c>
      <c r="F14">
        <v>0</v>
      </c>
      <c r="G14" t="s">
        <v>19</v>
      </c>
      <c r="H14" t="s">
        <v>8</v>
      </c>
      <c r="I14" t="s">
        <v>9</v>
      </c>
      <c r="J14" t="s">
        <v>18</v>
      </c>
      <c r="K14" t="s">
        <v>28</v>
      </c>
      <c r="L14" t="s">
        <v>19</v>
      </c>
      <c r="M14" t="s">
        <v>69</v>
      </c>
      <c r="N14" t="s">
        <v>69</v>
      </c>
      <c r="O14" t="s">
        <v>72</v>
      </c>
      <c r="P14">
        <v>1</v>
      </c>
    </row>
    <row r="15" spans="1:24">
      <c r="A15" t="s">
        <v>160</v>
      </c>
      <c r="B15" t="s">
        <v>139</v>
      </c>
      <c r="C15" t="s">
        <v>81</v>
      </c>
      <c r="D15">
        <v>1</v>
      </c>
      <c r="E15">
        <v>0</v>
      </c>
      <c r="F15">
        <v>0</v>
      </c>
      <c r="G15" t="s">
        <v>0</v>
      </c>
      <c r="H15" t="s">
        <v>8</v>
      </c>
      <c r="I15" t="s">
        <v>20</v>
      </c>
      <c r="J15" t="s">
        <v>21</v>
      </c>
      <c r="K15" t="s">
        <v>40</v>
      </c>
      <c r="L15" t="s">
        <v>0</v>
      </c>
      <c r="M15" t="s">
        <v>69</v>
      </c>
      <c r="N15" t="s">
        <v>69</v>
      </c>
      <c r="O15" t="s">
        <v>73</v>
      </c>
      <c r="P15">
        <v>3</v>
      </c>
    </row>
    <row r="16" spans="1:24">
      <c r="A16" t="s">
        <v>160</v>
      </c>
      <c r="B16" t="s">
        <v>139</v>
      </c>
      <c r="C16" t="s">
        <v>81</v>
      </c>
      <c r="D16">
        <v>1</v>
      </c>
      <c r="E16">
        <v>0</v>
      </c>
      <c r="F16">
        <v>0</v>
      </c>
      <c r="G16" t="s">
        <v>22</v>
      </c>
      <c r="H16" t="s">
        <v>10</v>
      </c>
      <c r="I16" t="s">
        <v>13</v>
      </c>
      <c r="J16" t="s">
        <v>57</v>
      </c>
      <c r="K16" t="s">
        <v>69</v>
      </c>
      <c r="L16" t="s">
        <v>22</v>
      </c>
      <c r="M16" t="s">
        <v>69</v>
      </c>
      <c r="N16" t="s">
        <v>69</v>
      </c>
      <c r="O16" t="s">
        <v>70</v>
      </c>
      <c r="P16">
        <v>1</v>
      </c>
    </row>
    <row r="17" spans="1:16">
      <c r="A17" t="s">
        <v>160</v>
      </c>
      <c r="B17" t="s">
        <v>139</v>
      </c>
      <c r="C17" t="s">
        <v>81</v>
      </c>
      <c r="D17">
        <v>1</v>
      </c>
      <c r="E17">
        <v>0</v>
      </c>
      <c r="F17">
        <v>0</v>
      </c>
      <c r="G17" t="s">
        <v>148</v>
      </c>
      <c r="H17" t="s">
        <v>8</v>
      </c>
      <c r="I17" t="s">
        <v>9</v>
      </c>
      <c r="J17" t="s">
        <v>26</v>
      </c>
      <c r="K17" t="s">
        <v>69</v>
      </c>
      <c r="L17" t="s">
        <v>69</v>
      </c>
      <c r="M17" t="s">
        <v>69</v>
      </c>
      <c r="N17" t="s">
        <v>69</v>
      </c>
      <c r="O17" t="s">
        <v>72</v>
      </c>
      <c r="P17">
        <v>2</v>
      </c>
    </row>
    <row r="18" spans="1:16">
      <c r="A18" t="s">
        <v>160</v>
      </c>
      <c r="B18" t="s">
        <v>139</v>
      </c>
      <c r="C18" t="s">
        <v>81</v>
      </c>
      <c r="D18">
        <v>1</v>
      </c>
      <c r="E18">
        <v>0</v>
      </c>
      <c r="F18">
        <v>0</v>
      </c>
      <c r="G18" t="s">
        <v>149</v>
      </c>
      <c r="H18" t="s">
        <v>8</v>
      </c>
      <c r="I18" t="s">
        <v>9</v>
      </c>
      <c r="J18" t="s">
        <v>26</v>
      </c>
      <c r="K18" t="s">
        <v>69</v>
      </c>
      <c r="L18" t="s">
        <v>27</v>
      </c>
      <c r="M18" t="s">
        <v>69</v>
      </c>
      <c r="N18" t="s">
        <v>69</v>
      </c>
      <c r="O18" t="s">
        <v>70</v>
      </c>
      <c r="P18">
        <v>3</v>
      </c>
    </row>
    <row r="19" spans="1:16">
      <c r="A19" t="s">
        <v>160</v>
      </c>
      <c r="B19" t="s">
        <v>139</v>
      </c>
      <c r="C19" t="s">
        <v>81</v>
      </c>
      <c r="D19">
        <v>1</v>
      </c>
      <c r="E19">
        <v>0</v>
      </c>
      <c r="F19">
        <v>0</v>
      </c>
      <c r="G19" t="s">
        <v>38</v>
      </c>
      <c r="H19" t="s">
        <v>8</v>
      </c>
      <c r="I19" t="s">
        <v>53</v>
      </c>
      <c r="J19" t="s">
        <v>38</v>
      </c>
      <c r="K19" t="s">
        <v>69</v>
      </c>
      <c r="L19" t="s">
        <v>69</v>
      </c>
      <c r="M19" t="s">
        <v>69</v>
      </c>
      <c r="N19" t="s">
        <v>69</v>
      </c>
      <c r="O19" t="s">
        <v>71</v>
      </c>
      <c r="P19">
        <v>3</v>
      </c>
    </row>
    <row r="20" spans="1:16">
      <c r="A20" t="s">
        <v>160</v>
      </c>
      <c r="B20" t="s">
        <v>139</v>
      </c>
      <c r="C20" t="s">
        <v>81</v>
      </c>
      <c r="D20">
        <v>1</v>
      </c>
      <c r="E20">
        <v>0</v>
      </c>
      <c r="F20">
        <v>0</v>
      </c>
      <c r="G20" t="s">
        <v>49</v>
      </c>
      <c r="H20" t="s">
        <v>8</v>
      </c>
      <c r="I20" t="s">
        <v>48</v>
      </c>
      <c r="J20" t="s">
        <v>49</v>
      </c>
      <c r="K20" t="s">
        <v>69</v>
      </c>
      <c r="L20" t="s">
        <v>50</v>
      </c>
      <c r="M20" t="s">
        <v>51</v>
      </c>
      <c r="N20" t="s">
        <v>69</v>
      </c>
      <c r="O20" t="s">
        <v>71</v>
      </c>
      <c r="P20">
        <v>4104</v>
      </c>
    </row>
    <row r="21" spans="1:16">
      <c r="A21" t="s">
        <v>160</v>
      </c>
      <c r="B21" t="s">
        <v>139</v>
      </c>
      <c r="C21" t="s">
        <v>81</v>
      </c>
      <c r="D21">
        <v>1</v>
      </c>
      <c r="E21">
        <v>0</v>
      </c>
      <c r="F21">
        <v>0</v>
      </c>
      <c r="G21" t="s">
        <v>147</v>
      </c>
      <c r="H21" t="s">
        <v>8</v>
      </c>
      <c r="I21" t="s">
        <v>9</v>
      </c>
      <c r="J21" t="s">
        <v>18</v>
      </c>
      <c r="K21" t="s">
        <v>69</v>
      </c>
      <c r="L21" t="s">
        <v>69</v>
      </c>
      <c r="M21" t="s">
        <v>69</v>
      </c>
      <c r="N21" t="s">
        <v>69</v>
      </c>
      <c r="O21" t="s">
        <v>72</v>
      </c>
      <c r="P21">
        <v>1</v>
      </c>
    </row>
    <row r="22" spans="1:16">
      <c r="A22" t="s">
        <v>160</v>
      </c>
      <c r="B22" t="s">
        <v>139</v>
      </c>
      <c r="C22" t="s">
        <v>81</v>
      </c>
      <c r="D22">
        <v>1</v>
      </c>
      <c r="E22">
        <v>0</v>
      </c>
      <c r="F22">
        <v>0</v>
      </c>
      <c r="G22" t="s">
        <v>151</v>
      </c>
      <c r="H22" t="s">
        <v>8</v>
      </c>
      <c r="I22" t="s">
        <v>9</v>
      </c>
      <c r="J22" t="s">
        <v>109</v>
      </c>
      <c r="K22" t="s">
        <v>111</v>
      </c>
      <c r="L22" t="s">
        <v>112</v>
      </c>
      <c r="M22" t="s">
        <v>113</v>
      </c>
      <c r="N22" t="s">
        <v>114</v>
      </c>
      <c r="O22" t="s">
        <v>72</v>
      </c>
      <c r="P22">
        <v>1</v>
      </c>
    </row>
    <row r="23" spans="1:16">
      <c r="A23" t="s">
        <v>161</v>
      </c>
      <c r="B23" t="s">
        <v>139</v>
      </c>
      <c r="C23" t="s">
        <v>81</v>
      </c>
      <c r="D23">
        <v>2</v>
      </c>
      <c r="E23">
        <v>0</v>
      </c>
      <c r="F23">
        <v>0</v>
      </c>
      <c r="G23" t="s">
        <v>16</v>
      </c>
      <c r="H23" t="s">
        <v>8</v>
      </c>
      <c r="I23" t="s">
        <v>9</v>
      </c>
      <c r="J23" t="s">
        <v>14</v>
      </c>
      <c r="K23" t="s">
        <v>23</v>
      </c>
      <c r="L23" t="s">
        <v>16</v>
      </c>
      <c r="M23" t="s">
        <v>69</v>
      </c>
      <c r="N23" t="s">
        <v>69</v>
      </c>
      <c r="O23" t="s">
        <v>72</v>
      </c>
      <c r="P23">
        <v>3</v>
      </c>
    </row>
    <row r="24" spans="1:16">
      <c r="A24" t="s">
        <v>161</v>
      </c>
      <c r="B24" t="s">
        <v>139</v>
      </c>
      <c r="C24" t="s">
        <v>81</v>
      </c>
      <c r="D24">
        <v>2</v>
      </c>
      <c r="E24">
        <v>0</v>
      </c>
      <c r="F24">
        <v>0</v>
      </c>
      <c r="G24" t="s">
        <v>17</v>
      </c>
      <c r="H24" t="s">
        <v>8</v>
      </c>
      <c r="I24" t="s">
        <v>9</v>
      </c>
      <c r="J24" t="s">
        <v>14</v>
      </c>
      <c r="K24" t="s">
        <v>23</v>
      </c>
      <c r="L24" t="s">
        <v>17</v>
      </c>
      <c r="M24" t="s">
        <v>69</v>
      </c>
      <c r="N24" t="s">
        <v>69</v>
      </c>
      <c r="O24" t="s">
        <v>74</v>
      </c>
      <c r="P24">
        <v>16</v>
      </c>
    </row>
    <row r="25" spans="1:16">
      <c r="A25" t="s">
        <v>161</v>
      </c>
      <c r="B25" t="s">
        <v>139</v>
      </c>
      <c r="C25" t="s">
        <v>81</v>
      </c>
      <c r="D25">
        <v>2</v>
      </c>
      <c r="E25">
        <v>0</v>
      </c>
      <c r="F25">
        <v>0</v>
      </c>
      <c r="G25" t="s">
        <v>0</v>
      </c>
      <c r="H25" t="s">
        <v>8</v>
      </c>
      <c r="I25" t="s">
        <v>20</v>
      </c>
      <c r="J25" t="s">
        <v>21</v>
      </c>
      <c r="K25" t="s">
        <v>40</v>
      </c>
      <c r="L25" t="s">
        <v>0</v>
      </c>
      <c r="M25" t="s">
        <v>69</v>
      </c>
      <c r="N25" t="s">
        <v>69</v>
      </c>
      <c r="O25" t="s">
        <v>73</v>
      </c>
      <c r="P25">
        <v>6</v>
      </c>
    </row>
    <row r="26" spans="1:16">
      <c r="A26" t="s">
        <v>161</v>
      </c>
      <c r="B26" t="s">
        <v>139</v>
      </c>
      <c r="C26" t="s">
        <v>81</v>
      </c>
      <c r="D26">
        <v>2</v>
      </c>
      <c r="E26">
        <v>0</v>
      </c>
      <c r="F26">
        <v>0</v>
      </c>
      <c r="G26" t="s">
        <v>149</v>
      </c>
      <c r="H26" t="s">
        <v>8</v>
      </c>
      <c r="I26" t="s">
        <v>9</v>
      </c>
      <c r="J26" t="s">
        <v>26</v>
      </c>
      <c r="K26" t="s">
        <v>69</v>
      </c>
      <c r="L26" t="s">
        <v>27</v>
      </c>
      <c r="M26" t="s">
        <v>69</v>
      </c>
      <c r="N26" t="s">
        <v>69</v>
      </c>
      <c r="O26" t="s">
        <v>70</v>
      </c>
      <c r="P26">
        <v>2</v>
      </c>
    </row>
    <row r="27" spans="1:16">
      <c r="A27" t="s">
        <v>161</v>
      </c>
      <c r="B27" t="s">
        <v>139</v>
      </c>
      <c r="C27" t="s">
        <v>81</v>
      </c>
      <c r="D27">
        <v>2</v>
      </c>
      <c r="E27">
        <v>0</v>
      </c>
      <c r="F27">
        <v>0</v>
      </c>
      <c r="G27" t="s">
        <v>49</v>
      </c>
      <c r="H27" t="s">
        <v>8</v>
      </c>
      <c r="I27" t="s">
        <v>48</v>
      </c>
      <c r="J27" t="s">
        <v>49</v>
      </c>
      <c r="K27" t="s">
        <v>69</v>
      </c>
      <c r="L27" t="s">
        <v>50</v>
      </c>
      <c r="M27" t="s">
        <v>51</v>
      </c>
      <c r="N27" t="s">
        <v>69</v>
      </c>
      <c r="O27" t="s">
        <v>71</v>
      </c>
      <c r="P27">
        <v>21141</v>
      </c>
    </row>
    <row r="28" spans="1:16">
      <c r="A28" t="s">
        <v>161</v>
      </c>
      <c r="B28" t="s">
        <v>139</v>
      </c>
      <c r="C28" t="s">
        <v>81</v>
      </c>
      <c r="D28">
        <v>2</v>
      </c>
      <c r="E28">
        <v>0</v>
      </c>
      <c r="F28">
        <v>0</v>
      </c>
      <c r="G28" t="s">
        <v>147</v>
      </c>
      <c r="H28" t="s">
        <v>8</v>
      </c>
      <c r="I28" t="s">
        <v>9</v>
      </c>
      <c r="J28" t="s">
        <v>18</v>
      </c>
      <c r="K28" t="s">
        <v>69</v>
      </c>
      <c r="L28" t="s">
        <v>69</v>
      </c>
      <c r="M28" t="s">
        <v>69</v>
      </c>
      <c r="N28" t="s">
        <v>69</v>
      </c>
      <c r="O28" t="s">
        <v>72</v>
      </c>
      <c r="P28">
        <v>1</v>
      </c>
    </row>
    <row r="29" spans="1:16">
      <c r="A29" t="s">
        <v>162</v>
      </c>
      <c r="B29" t="s">
        <v>139</v>
      </c>
      <c r="C29" t="s">
        <v>81</v>
      </c>
      <c r="D29">
        <v>3</v>
      </c>
      <c r="E29">
        <v>0</v>
      </c>
      <c r="F29">
        <v>0</v>
      </c>
      <c r="G29" t="s">
        <v>15</v>
      </c>
      <c r="H29" t="s">
        <v>8</v>
      </c>
      <c r="I29" t="s">
        <v>9</v>
      </c>
      <c r="J29" t="s">
        <v>14</v>
      </c>
      <c r="K29" t="s">
        <v>23</v>
      </c>
      <c r="L29" t="s">
        <v>15</v>
      </c>
      <c r="M29" t="s">
        <v>69</v>
      </c>
      <c r="N29" t="s">
        <v>69</v>
      </c>
      <c r="O29" t="s">
        <v>72</v>
      </c>
      <c r="P29">
        <v>3</v>
      </c>
    </row>
    <row r="30" spans="1:16">
      <c r="A30" t="s">
        <v>162</v>
      </c>
      <c r="B30" t="s">
        <v>139</v>
      </c>
      <c r="C30" t="s">
        <v>81</v>
      </c>
      <c r="D30">
        <v>3</v>
      </c>
      <c r="E30">
        <v>0</v>
      </c>
      <c r="F30">
        <v>0</v>
      </c>
      <c r="G30" t="s">
        <v>16</v>
      </c>
      <c r="H30" t="s">
        <v>8</v>
      </c>
      <c r="I30" t="s">
        <v>9</v>
      </c>
      <c r="J30" t="s">
        <v>14</v>
      </c>
      <c r="K30" t="s">
        <v>23</v>
      </c>
      <c r="L30" t="s">
        <v>16</v>
      </c>
      <c r="M30" t="s">
        <v>69</v>
      </c>
      <c r="N30" t="s">
        <v>69</v>
      </c>
      <c r="O30" t="s">
        <v>72</v>
      </c>
      <c r="P30">
        <v>1</v>
      </c>
    </row>
    <row r="31" spans="1:16">
      <c r="A31" t="s">
        <v>162</v>
      </c>
      <c r="B31" t="s">
        <v>139</v>
      </c>
      <c r="C31" t="s">
        <v>81</v>
      </c>
      <c r="D31">
        <v>3</v>
      </c>
      <c r="E31">
        <v>0</v>
      </c>
      <c r="F31">
        <v>0</v>
      </c>
      <c r="G31" t="s">
        <v>22</v>
      </c>
      <c r="H31" t="s">
        <v>10</v>
      </c>
      <c r="I31" t="s">
        <v>13</v>
      </c>
      <c r="J31" t="s">
        <v>57</v>
      </c>
      <c r="K31" t="s">
        <v>69</v>
      </c>
      <c r="L31" t="s">
        <v>22</v>
      </c>
      <c r="M31" t="s">
        <v>69</v>
      </c>
      <c r="N31" t="s">
        <v>69</v>
      </c>
      <c r="O31" t="s">
        <v>70</v>
      </c>
      <c r="P31">
        <v>3</v>
      </c>
    </row>
    <row r="32" spans="1:16">
      <c r="A32" t="s">
        <v>162</v>
      </c>
      <c r="B32" t="s">
        <v>139</v>
      </c>
      <c r="C32" t="s">
        <v>81</v>
      </c>
      <c r="D32">
        <v>3</v>
      </c>
      <c r="E32">
        <v>0</v>
      </c>
      <c r="F32">
        <v>0</v>
      </c>
      <c r="G32" t="s">
        <v>31</v>
      </c>
      <c r="H32" t="s">
        <v>11</v>
      </c>
      <c r="I32" t="s">
        <v>35</v>
      </c>
      <c r="J32" t="s">
        <v>36</v>
      </c>
      <c r="K32" t="s">
        <v>69</v>
      </c>
      <c r="L32" t="s">
        <v>37</v>
      </c>
      <c r="M32" t="s">
        <v>31</v>
      </c>
      <c r="N32" t="s">
        <v>69</v>
      </c>
      <c r="O32" t="s">
        <v>71</v>
      </c>
      <c r="P32">
        <v>1</v>
      </c>
    </row>
    <row r="33" spans="1:16">
      <c r="A33" t="s">
        <v>162</v>
      </c>
      <c r="B33" t="s">
        <v>139</v>
      </c>
      <c r="C33" t="s">
        <v>81</v>
      </c>
      <c r="D33">
        <v>3</v>
      </c>
      <c r="E33">
        <v>0</v>
      </c>
      <c r="F33">
        <v>0</v>
      </c>
      <c r="G33" t="s">
        <v>38</v>
      </c>
      <c r="H33" t="s">
        <v>8</v>
      </c>
      <c r="I33" t="s">
        <v>53</v>
      </c>
      <c r="J33" t="s">
        <v>38</v>
      </c>
      <c r="K33" t="s">
        <v>69</v>
      </c>
      <c r="L33" t="s">
        <v>69</v>
      </c>
      <c r="M33" t="s">
        <v>69</v>
      </c>
      <c r="N33" t="s">
        <v>69</v>
      </c>
      <c r="O33" t="s">
        <v>71</v>
      </c>
      <c r="P33">
        <v>8</v>
      </c>
    </row>
    <row r="34" spans="1:16">
      <c r="A34" t="s">
        <v>162</v>
      </c>
      <c r="B34" t="s">
        <v>139</v>
      </c>
      <c r="C34" t="s">
        <v>81</v>
      </c>
      <c r="D34">
        <v>3</v>
      </c>
      <c r="E34">
        <v>0</v>
      </c>
      <c r="F34">
        <v>0</v>
      </c>
      <c r="G34" t="s">
        <v>49</v>
      </c>
      <c r="H34" t="s">
        <v>8</v>
      </c>
      <c r="I34" t="s">
        <v>48</v>
      </c>
      <c r="J34" t="s">
        <v>49</v>
      </c>
      <c r="K34" t="s">
        <v>69</v>
      </c>
      <c r="L34" t="s">
        <v>50</v>
      </c>
      <c r="M34" t="s">
        <v>51</v>
      </c>
      <c r="N34" t="s">
        <v>69</v>
      </c>
      <c r="O34" t="s">
        <v>71</v>
      </c>
      <c r="P34">
        <v>3780</v>
      </c>
    </row>
    <row r="35" spans="1:16">
      <c r="A35" t="s">
        <v>162</v>
      </c>
      <c r="B35" t="s">
        <v>139</v>
      </c>
      <c r="C35" t="s">
        <v>81</v>
      </c>
      <c r="D35">
        <v>3</v>
      </c>
      <c r="E35">
        <v>0</v>
      </c>
      <c r="F35">
        <v>0</v>
      </c>
      <c r="G35" t="s">
        <v>90</v>
      </c>
      <c r="H35" t="s">
        <v>8</v>
      </c>
      <c r="I35" t="s">
        <v>87</v>
      </c>
      <c r="J35" t="s">
        <v>90</v>
      </c>
      <c r="K35" t="s">
        <v>69</v>
      </c>
      <c r="L35" t="s">
        <v>69</v>
      </c>
      <c r="M35" t="s">
        <v>69</v>
      </c>
      <c r="N35" t="s">
        <v>69</v>
      </c>
      <c r="O35" t="s">
        <v>72</v>
      </c>
      <c r="P35">
        <v>1</v>
      </c>
    </row>
    <row r="36" spans="1:16">
      <c r="A36" t="s">
        <v>163</v>
      </c>
      <c r="B36" t="s">
        <v>139</v>
      </c>
      <c r="C36" t="s">
        <v>81</v>
      </c>
      <c r="D36">
        <v>4</v>
      </c>
      <c r="E36">
        <v>0</v>
      </c>
      <c r="F36">
        <v>0</v>
      </c>
      <c r="G36" t="s">
        <v>149</v>
      </c>
      <c r="H36" t="s">
        <v>8</v>
      </c>
      <c r="I36" t="s">
        <v>9</v>
      </c>
      <c r="J36" t="s">
        <v>26</v>
      </c>
      <c r="K36" t="s">
        <v>69</v>
      </c>
      <c r="L36" t="s">
        <v>27</v>
      </c>
      <c r="M36" t="s">
        <v>69</v>
      </c>
      <c r="N36" t="s">
        <v>69</v>
      </c>
      <c r="O36" t="s">
        <v>70</v>
      </c>
      <c r="P36">
        <v>1</v>
      </c>
    </row>
    <row r="37" spans="1:16">
      <c r="A37" t="s">
        <v>163</v>
      </c>
      <c r="B37" t="s">
        <v>139</v>
      </c>
      <c r="C37" t="s">
        <v>81</v>
      </c>
      <c r="D37">
        <v>4</v>
      </c>
      <c r="E37">
        <v>0</v>
      </c>
      <c r="F37">
        <v>0</v>
      </c>
      <c r="G37" t="s">
        <v>38</v>
      </c>
      <c r="H37" t="s">
        <v>8</v>
      </c>
      <c r="I37" t="s">
        <v>53</v>
      </c>
      <c r="J37" t="s">
        <v>38</v>
      </c>
      <c r="K37" t="s">
        <v>69</v>
      </c>
      <c r="L37" t="s">
        <v>69</v>
      </c>
      <c r="M37" t="s">
        <v>69</v>
      </c>
      <c r="N37" t="s">
        <v>69</v>
      </c>
      <c r="O37" t="s">
        <v>71</v>
      </c>
      <c r="P37">
        <v>3</v>
      </c>
    </row>
    <row r="38" spans="1:16">
      <c r="A38" t="s">
        <v>163</v>
      </c>
      <c r="B38" t="s">
        <v>139</v>
      </c>
      <c r="C38" t="s">
        <v>81</v>
      </c>
      <c r="D38">
        <v>4</v>
      </c>
      <c r="E38">
        <v>0</v>
      </c>
      <c r="F38">
        <v>0</v>
      </c>
      <c r="G38" t="s">
        <v>49</v>
      </c>
      <c r="H38" t="s">
        <v>8</v>
      </c>
      <c r="I38" t="s">
        <v>48</v>
      </c>
      <c r="J38" t="s">
        <v>49</v>
      </c>
      <c r="K38" t="s">
        <v>69</v>
      </c>
      <c r="L38" t="s">
        <v>50</v>
      </c>
      <c r="M38" t="s">
        <v>51</v>
      </c>
      <c r="N38" t="s">
        <v>69</v>
      </c>
      <c r="O38" t="s">
        <v>71</v>
      </c>
      <c r="P38">
        <v>1638</v>
      </c>
    </row>
    <row r="39" spans="1:16">
      <c r="A39" t="s">
        <v>163</v>
      </c>
      <c r="B39" t="s">
        <v>139</v>
      </c>
      <c r="C39" t="s">
        <v>81</v>
      </c>
      <c r="D39">
        <v>4</v>
      </c>
      <c r="E39">
        <v>0</v>
      </c>
      <c r="F39">
        <v>0</v>
      </c>
      <c r="G39" t="s">
        <v>145</v>
      </c>
      <c r="H39" t="s">
        <v>8</v>
      </c>
      <c r="I39" t="s">
        <v>52</v>
      </c>
      <c r="J39" t="s">
        <v>39</v>
      </c>
      <c r="K39" t="s">
        <v>69</v>
      </c>
      <c r="L39" t="s">
        <v>145</v>
      </c>
      <c r="M39" t="s">
        <v>69</v>
      </c>
      <c r="N39" t="s">
        <v>69</v>
      </c>
      <c r="O39" t="s">
        <v>72</v>
      </c>
      <c r="P39">
        <v>1</v>
      </c>
    </row>
    <row r="40" spans="1:16">
      <c r="A40" t="s">
        <v>163</v>
      </c>
      <c r="B40" t="s">
        <v>139</v>
      </c>
      <c r="C40" t="s">
        <v>81</v>
      </c>
      <c r="D40">
        <v>4</v>
      </c>
      <c r="E40">
        <v>0</v>
      </c>
      <c r="F40">
        <v>0</v>
      </c>
      <c r="G40" t="s">
        <v>97</v>
      </c>
      <c r="H40" t="s">
        <v>8</v>
      </c>
      <c r="I40" t="s">
        <v>97</v>
      </c>
      <c r="J40" t="s">
        <v>98</v>
      </c>
      <c r="K40" t="s">
        <v>69</v>
      </c>
      <c r="L40" t="s">
        <v>69</v>
      </c>
      <c r="M40" t="s">
        <v>69</v>
      </c>
      <c r="N40" t="s">
        <v>69</v>
      </c>
      <c r="O40" t="s">
        <v>70</v>
      </c>
      <c r="P40">
        <v>1</v>
      </c>
    </row>
    <row r="41" spans="1:16">
      <c r="A41" t="s">
        <v>164</v>
      </c>
      <c r="B41" t="s">
        <v>139</v>
      </c>
      <c r="C41" t="s">
        <v>83</v>
      </c>
      <c r="D41">
        <v>1</v>
      </c>
      <c r="E41">
        <v>0</v>
      </c>
      <c r="F41">
        <v>0</v>
      </c>
      <c r="G41" t="s">
        <v>17</v>
      </c>
      <c r="H41" t="s">
        <v>8</v>
      </c>
      <c r="I41" t="s">
        <v>9</v>
      </c>
      <c r="J41" t="s">
        <v>14</v>
      </c>
      <c r="K41" t="s">
        <v>23</v>
      </c>
      <c r="L41" t="s">
        <v>17</v>
      </c>
      <c r="M41" t="s">
        <v>69</v>
      </c>
      <c r="N41" t="s">
        <v>69</v>
      </c>
      <c r="O41" t="s">
        <v>74</v>
      </c>
      <c r="P41">
        <v>1</v>
      </c>
    </row>
    <row r="42" spans="1:16">
      <c r="A42" t="s">
        <v>164</v>
      </c>
      <c r="B42" t="s">
        <v>139</v>
      </c>
      <c r="C42" t="s">
        <v>83</v>
      </c>
      <c r="D42">
        <v>1</v>
      </c>
      <c r="E42">
        <v>0</v>
      </c>
      <c r="F42">
        <v>0</v>
      </c>
      <c r="G42" t="s">
        <v>22</v>
      </c>
      <c r="H42" t="s">
        <v>10</v>
      </c>
      <c r="I42" t="s">
        <v>13</v>
      </c>
      <c r="J42" t="s">
        <v>57</v>
      </c>
      <c r="K42" t="s">
        <v>69</v>
      </c>
      <c r="L42" t="s">
        <v>22</v>
      </c>
      <c r="M42" t="s">
        <v>69</v>
      </c>
      <c r="N42" t="s">
        <v>69</v>
      </c>
      <c r="O42" t="s">
        <v>70</v>
      </c>
      <c r="P42">
        <v>1</v>
      </c>
    </row>
    <row r="43" spans="1:16">
      <c r="A43" t="s">
        <v>164</v>
      </c>
      <c r="B43" t="s">
        <v>139</v>
      </c>
      <c r="C43" t="s">
        <v>83</v>
      </c>
      <c r="D43">
        <v>1</v>
      </c>
      <c r="E43">
        <v>0</v>
      </c>
      <c r="F43">
        <v>0</v>
      </c>
      <c r="G43" t="s">
        <v>148</v>
      </c>
      <c r="H43" t="s">
        <v>8</v>
      </c>
      <c r="I43" t="s">
        <v>9</v>
      </c>
      <c r="J43" t="s">
        <v>26</v>
      </c>
      <c r="K43" t="s">
        <v>69</v>
      </c>
      <c r="L43" t="s">
        <v>69</v>
      </c>
      <c r="M43" t="s">
        <v>69</v>
      </c>
      <c r="N43" t="s">
        <v>69</v>
      </c>
      <c r="O43" t="s">
        <v>72</v>
      </c>
      <c r="P43">
        <v>17</v>
      </c>
    </row>
    <row r="44" spans="1:16">
      <c r="A44" t="s">
        <v>164</v>
      </c>
      <c r="B44" t="s">
        <v>139</v>
      </c>
      <c r="C44" t="s">
        <v>83</v>
      </c>
      <c r="D44">
        <v>1</v>
      </c>
      <c r="E44">
        <v>0</v>
      </c>
      <c r="F44">
        <v>0</v>
      </c>
      <c r="G44" t="s">
        <v>149</v>
      </c>
      <c r="H44" t="s">
        <v>8</v>
      </c>
      <c r="I44" t="s">
        <v>9</v>
      </c>
      <c r="J44" t="s">
        <v>26</v>
      </c>
      <c r="K44" t="s">
        <v>69</v>
      </c>
      <c r="L44" t="s">
        <v>27</v>
      </c>
      <c r="M44" t="s">
        <v>69</v>
      </c>
      <c r="N44" t="s">
        <v>69</v>
      </c>
      <c r="O44" t="s">
        <v>70</v>
      </c>
      <c r="P44">
        <v>18</v>
      </c>
    </row>
    <row r="45" spans="1:16">
      <c r="A45" t="s">
        <v>164</v>
      </c>
      <c r="B45" t="s">
        <v>139</v>
      </c>
      <c r="C45" t="s">
        <v>83</v>
      </c>
      <c r="D45">
        <v>1</v>
      </c>
      <c r="E45">
        <v>0</v>
      </c>
      <c r="F45">
        <v>0</v>
      </c>
      <c r="G45" t="s">
        <v>56</v>
      </c>
      <c r="H45" t="s">
        <v>11</v>
      </c>
      <c r="I45" t="s">
        <v>56</v>
      </c>
      <c r="J45" t="s">
        <v>69</v>
      </c>
      <c r="K45" t="s">
        <v>69</v>
      </c>
      <c r="L45" t="s">
        <v>69</v>
      </c>
      <c r="M45" t="s">
        <v>69</v>
      </c>
      <c r="N45" t="s">
        <v>69</v>
      </c>
      <c r="O45" t="s">
        <v>74</v>
      </c>
      <c r="P45">
        <v>2</v>
      </c>
    </row>
    <row r="46" spans="1:16">
      <c r="A46" t="s">
        <v>164</v>
      </c>
      <c r="B46" t="s">
        <v>139</v>
      </c>
      <c r="C46" t="s">
        <v>83</v>
      </c>
      <c r="D46">
        <v>1</v>
      </c>
      <c r="E46">
        <v>0</v>
      </c>
      <c r="F46">
        <v>0</v>
      </c>
      <c r="G46" t="s">
        <v>49</v>
      </c>
      <c r="H46" t="s">
        <v>8</v>
      </c>
      <c r="I46" t="s">
        <v>48</v>
      </c>
      <c r="J46" t="s">
        <v>49</v>
      </c>
      <c r="K46" t="s">
        <v>69</v>
      </c>
      <c r="L46" t="s">
        <v>50</v>
      </c>
      <c r="M46" t="s">
        <v>51</v>
      </c>
      <c r="N46" t="s">
        <v>69</v>
      </c>
      <c r="O46" t="s">
        <v>71</v>
      </c>
      <c r="P46">
        <v>37</v>
      </c>
    </row>
    <row r="47" spans="1:16">
      <c r="A47" t="s">
        <v>164</v>
      </c>
      <c r="B47" t="s">
        <v>139</v>
      </c>
      <c r="C47" t="s">
        <v>83</v>
      </c>
      <c r="D47">
        <v>1</v>
      </c>
      <c r="E47">
        <v>0</v>
      </c>
      <c r="F47">
        <v>0</v>
      </c>
      <c r="G47" t="s">
        <v>90</v>
      </c>
      <c r="H47" t="s">
        <v>8</v>
      </c>
      <c r="I47" t="s">
        <v>87</v>
      </c>
      <c r="J47" t="s">
        <v>90</v>
      </c>
      <c r="K47" t="s">
        <v>69</v>
      </c>
      <c r="L47" t="s">
        <v>69</v>
      </c>
      <c r="M47" t="s">
        <v>69</v>
      </c>
      <c r="N47" t="s">
        <v>69</v>
      </c>
      <c r="O47" t="s">
        <v>72</v>
      </c>
      <c r="P47">
        <v>5</v>
      </c>
    </row>
    <row r="48" spans="1:16">
      <c r="A48" t="s">
        <v>164</v>
      </c>
      <c r="B48" t="s">
        <v>139</v>
      </c>
      <c r="C48" t="s">
        <v>83</v>
      </c>
      <c r="D48">
        <v>1</v>
      </c>
      <c r="E48">
        <v>0</v>
      </c>
      <c r="F48">
        <v>0</v>
      </c>
      <c r="G48" t="s">
        <v>145</v>
      </c>
      <c r="H48" t="s">
        <v>8</v>
      </c>
      <c r="I48" t="s">
        <v>52</v>
      </c>
      <c r="J48" t="s">
        <v>39</v>
      </c>
      <c r="K48" t="s">
        <v>69</v>
      </c>
      <c r="L48" t="s">
        <v>145</v>
      </c>
      <c r="M48" t="s">
        <v>69</v>
      </c>
      <c r="N48" t="s">
        <v>69</v>
      </c>
      <c r="O48" t="s">
        <v>72</v>
      </c>
      <c r="P48">
        <v>2</v>
      </c>
    </row>
    <row r="49" spans="1:16">
      <c r="A49" t="s">
        <v>164</v>
      </c>
      <c r="B49" t="s">
        <v>139</v>
      </c>
      <c r="C49" t="s">
        <v>83</v>
      </c>
      <c r="D49">
        <v>1</v>
      </c>
      <c r="E49">
        <v>0</v>
      </c>
      <c r="F49">
        <v>0</v>
      </c>
      <c r="G49" s="7" t="s">
        <v>146</v>
      </c>
      <c r="H49" t="s">
        <v>8</v>
      </c>
      <c r="I49" t="s">
        <v>91</v>
      </c>
      <c r="J49" t="s">
        <v>92</v>
      </c>
      <c r="K49" t="s">
        <v>69</v>
      </c>
      <c r="L49" t="s">
        <v>93</v>
      </c>
      <c r="M49" t="s">
        <v>94</v>
      </c>
      <c r="N49" t="s">
        <v>95</v>
      </c>
      <c r="O49" t="s">
        <v>75</v>
      </c>
      <c r="P49">
        <v>8</v>
      </c>
    </row>
    <row r="50" spans="1:16">
      <c r="A50" t="s">
        <v>164</v>
      </c>
      <c r="B50" t="s">
        <v>139</v>
      </c>
      <c r="C50" t="s">
        <v>83</v>
      </c>
      <c r="D50">
        <v>1</v>
      </c>
      <c r="E50">
        <v>0</v>
      </c>
      <c r="F50">
        <v>0</v>
      </c>
      <c r="G50" t="s">
        <v>147</v>
      </c>
      <c r="H50" t="s">
        <v>8</v>
      </c>
      <c r="I50" t="s">
        <v>9</v>
      </c>
      <c r="J50" t="s">
        <v>18</v>
      </c>
      <c r="K50" t="s">
        <v>69</v>
      </c>
      <c r="L50" t="s">
        <v>69</v>
      </c>
      <c r="M50" t="s">
        <v>69</v>
      </c>
      <c r="N50" t="s">
        <v>69</v>
      </c>
      <c r="O50" t="s">
        <v>72</v>
      </c>
      <c r="P50">
        <v>1</v>
      </c>
    </row>
    <row r="51" spans="1:16">
      <c r="A51" t="s">
        <v>164</v>
      </c>
      <c r="B51" t="s">
        <v>139</v>
      </c>
      <c r="C51" t="s">
        <v>83</v>
      </c>
      <c r="D51">
        <v>1</v>
      </c>
      <c r="E51">
        <v>0</v>
      </c>
      <c r="F51">
        <v>0</v>
      </c>
      <c r="G51" t="s">
        <v>97</v>
      </c>
      <c r="H51" t="s">
        <v>8</v>
      </c>
      <c r="I51" t="s">
        <v>97</v>
      </c>
      <c r="J51" t="s">
        <v>98</v>
      </c>
      <c r="K51" t="s">
        <v>69</v>
      </c>
      <c r="L51" t="s">
        <v>69</v>
      </c>
      <c r="M51" t="s">
        <v>69</v>
      </c>
      <c r="N51" t="s">
        <v>69</v>
      </c>
      <c r="O51" t="s">
        <v>70</v>
      </c>
      <c r="P51">
        <v>1</v>
      </c>
    </row>
    <row r="52" spans="1:16">
      <c r="A52" t="s">
        <v>164</v>
      </c>
      <c r="B52" t="s">
        <v>139</v>
      </c>
      <c r="C52" t="s">
        <v>83</v>
      </c>
      <c r="D52">
        <v>1</v>
      </c>
      <c r="E52">
        <v>0</v>
      </c>
      <c r="F52">
        <v>0</v>
      </c>
      <c r="G52" s="7" t="s">
        <v>150</v>
      </c>
      <c r="H52" t="s">
        <v>8</v>
      </c>
      <c r="I52" t="s">
        <v>52</v>
      </c>
      <c r="J52" t="s">
        <v>104</v>
      </c>
      <c r="K52" t="s">
        <v>105</v>
      </c>
      <c r="L52" t="s">
        <v>106</v>
      </c>
      <c r="M52" t="s">
        <v>107</v>
      </c>
      <c r="N52" t="s">
        <v>108</v>
      </c>
      <c r="O52" t="s">
        <v>72</v>
      </c>
      <c r="P52">
        <v>1</v>
      </c>
    </row>
    <row r="53" spans="1:16">
      <c r="A53" t="s">
        <v>165</v>
      </c>
      <c r="B53" t="s">
        <v>139</v>
      </c>
      <c r="C53" t="s">
        <v>83</v>
      </c>
      <c r="D53">
        <v>2</v>
      </c>
      <c r="E53">
        <v>0</v>
      </c>
      <c r="F53">
        <v>0</v>
      </c>
      <c r="G53" t="s">
        <v>0</v>
      </c>
      <c r="H53" t="s">
        <v>8</v>
      </c>
      <c r="I53" t="s">
        <v>20</v>
      </c>
      <c r="J53" t="s">
        <v>21</v>
      </c>
      <c r="K53" t="s">
        <v>40</v>
      </c>
      <c r="L53" t="s">
        <v>0</v>
      </c>
      <c r="M53" t="s">
        <v>69</v>
      </c>
      <c r="N53" t="s">
        <v>69</v>
      </c>
      <c r="O53" t="s">
        <v>73</v>
      </c>
      <c r="P53">
        <v>2</v>
      </c>
    </row>
    <row r="54" spans="1:16">
      <c r="A54" t="s">
        <v>165</v>
      </c>
      <c r="B54" t="s">
        <v>139</v>
      </c>
      <c r="C54" t="s">
        <v>83</v>
      </c>
      <c r="D54">
        <v>2</v>
      </c>
      <c r="E54">
        <v>0</v>
      </c>
      <c r="F54">
        <v>0</v>
      </c>
      <c r="G54" t="s">
        <v>49</v>
      </c>
      <c r="H54" t="s">
        <v>8</v>
      </c>
      <c r="I54" t="s">
        <v>48</v>
      </c>
      <c r="J54" t="s">
        <v>49</v>
      </c>
      <c r="K54" t="s">
        <v>69</v>
      </c>
      <c r="L54" t="s">
        <v>50</v>
      </c>
      <c r="M54" t="s">
        <v>51</v>
      </c>
      <c r="N54" t="s">
        <v>69</v>
      </c>
      <c r="O54" t="s">
        <v>71</v>
      </c>
      <c r="P54">
        <v>2986</v>
      </c>
    </row>
    <row r="55" spans="1:16">
      <c r="A55" t="s">
        <v>166</v>
      </c>
      <c r="B55" t="s">
        <v>139</v>
      </c>
      <c r="C55" t="s">
        <v>83</v>
      </c>
      <c r="D55">
        <v>3</v>
      </c>
      <c r="E55">
        <v>0</v>
      </c>
      <c r="F55">
        <v>0</v>
      </c>
      <c r="G55" t="s">
        <v>17</v>
      </c>
      <c r="H55" t="s">
        <v>8</v>
      </c>
      <c r="I55" t="s">
        <v>9</v>
      </c>
      <c r="J55" t="s">
        <v>14</v>
      </c>
      <c r="K55" t="s">
        <v>23</v>
      </c>
      <c r="L55" t="s">
        <v>17</v>
      </c>
      <c r="M55" t="s">
        <v>69</v>
      </c>
      <c r="N55" t="s">
        <v>69</v>
      </c>
      <c r="O55" t="s">
        <v>74</v>
      </c>
      <c r="P55">
        <v>81</v>
      </c>
    </row>
    <row r="56" spans="1:16">
      <c r="A56" t="s">
        <v>166</v>
      </c>
      <c r="B56" t="s">
        <v>139</v>
      </c>
      <c r="C56" t="s">
        <v>83</v>
      </c>
      <c r="D56">
        <v>3</v>
      </c>
      <c r="E56">
        <v>0</v>
      </c>
      <c r="F56">
        <v>0</v>
      </c>
      <c r="G56" t="s">
        <v>148</v>
      </c>
      <c r="H56" t="s">
        <v>8</v>
      </c>
      <c r="I56" t="s">
        <v>9</v>
      </c>
      <c r="J56" t="s">
        <v>26</v>
      </c>
      <c r="K56" t="s">
        <v>69</v>
      </c>
      <c r="L56" t="s">
        <v>69</v>
      </c>
      <c r="M56" t="s">
        <v>69</v>
      </c>
      <c r="N56" t="s">
        <v>69</v>
      </c>
      <c r="O56" t="s">
        <v>72</v>
      </c>
      <c r="P56">
        <v>2</v>
      </c>
    </row>
    <row r="57" spans="1:16">
      <c r="A57" t="s">
        <v>166</v>
      </c>
      <c r="B57" t="s">
        <v>139</v>
      </c>
      <c r="C57" t="s">
        <v>83</v>
      </c>
      <c r="D57">
        <v>3</v>
      </c>
      <c r="E57">
        <v>0</v>
      </c>
      <c r="F57">
        <v>0</v>
      </c>
      <c r="G57" t="s">
        <v>31</v>
      </c>
      <c r="H57" t="s">
        <v>11</v>
      </c>
      <c r="I57" t="s">
        <v>35</v>
      </c>
      <c r="J57" t="s">
        <v>36</v>
      </c>
      <c r="K57" t="s">
        <v>69</v>
      </c>
      <c r="L57" t="s">
        <v>37</v>
      </c>
      <c r="M57" t="s">
        <v>31</v>
      </c>
      <c r="N57" t="s">
        <v>69</v>
      </c>
      <c r="O57" t="s">
        <v>71</v>
      </c>
      <c r="P57">
        <v>1</v>
      </c>
    </row>
    <row r="58" spans="1:16">
      <c r="A58" t="s">
        <v>166</v>
      </c>
      <c r="B58" t="s">
        <v>139</v>
      </c>
      <c r="C58" t="s">
        <v>83</v>
      </c>
      <c r="D58">
        <v>3</v>
      </c>
      <c r="E58">
        <v>0</v>
      </c>
      <c r="F58">
        <v>0</v>
      </c>
      <c r="G58" t="s">
        <v>49</v>
      </c>
      <c r="H58" t="s">
        <v>8</v>
      </c>
      <c r="I58" t="s">
        <v>48</v>
      </c>
      <c r="J58" t="s">
        <v>49</v>
      </c>
      <c r="K58" t="s">
        <v>69</v>
      </c>
      <c r="L58" t="s">
        <v>50</v>
      </c>
      <c r="M58" t="s">
        <v>51</v>
      </c>
      <c r="N58" t="s">
        <v>69</v>
      </c>
      <c r="O58" t="s">
        <v>71</v>
      </c>
      <c r="P58">
        <v>1080</v>
      </c>
    </row>
    <row r="59" spans="1:16">
      <c r="A59" t="s">
        <v>166</v>
      </c>
      <c r="B59" t="s">
        <v>139</v>
      </c>
      <c r="C59" t="s">
        <v>83</v>
      </c>
      <c r="D59">
        <v>3</v>
      </c>
      <c r="E59">
        <v>0</v>
      </c>
      <c r="F59">
        <v>0</v>
      </c>
      <c r="G59" t="s">
        <v>145</v>
      </c>
      <c r="H59" t="s">
        <v>8</v>
      </c>
      <c r="I59" t="s">
        <v>52</v>
      </c>
      <c r="J59" t="s">
        <v>39</v>
      </c>
      <c r="K59" t="s">
        <v>69</v>
      </c>
      <c r="L59" t="s">
        <v>145</v>
      </c>
      <c r="M59" t="s">
        <v>69</v>
      </c>
      <c r="N59" t="s">
        <v>69</v>
      </c>
      <c r="O59" t="s">
        <v>72</v>
      </c>
      <c r="P59">
        <v>5</v>
      </c>
    </row>
    <row r="60" spans="1:16">
      <c r="A60" t="s">
        <v>166</v>
      </c>
      <c r="B60" t="s">
        <v>139</v>
      </c>
      <c r="C60" t="s">
        <v>83</v>
      </c>
      <c r="D60">
        <v>3</v>
      </c>
      <c r="E60">
        <v>0</v>
      </c>
      <c r="F60">
        <v>0</v>
      </c>
      <c r="G60" t="s">
        <v>152</v>
      </c>
      <c r="H60" t="s">
        <v>8</v>
      </c>
      <c r="I60" t="s">
        <v>9</v>
      </c>
      <c r="J60" t="s">
        <v>109</v>
      </c>
      <c r="K60" t="s">
        <v>116</v>
      </c>
      <c r="L60" t="s">
        <v>69</v>
      </c>
      <c r="M60" t="s">
        <v>69</v>
      </c>
      <c r="N60" t="s">
        <v>69</v>
      </c>
      <c r="O60" t="s">
        <v>72</v>
      </c>
      <c r="P60">
        <v>1</v>
      </c>
    </row>
    <row r="61" spans="1:16">
      <c r="A61" t="s">
        <v>167</v>
      </c>
      <c r="B61" t="s">
        <v>139</v>
      </c>
      <c r="C61" t="s">
        <v>83</v>
      </c>
      <c r="D61">
        <v>4</v>
      </c>
      <c r="E61">
        <v>0</v>
      </c>
      <c r="F61">
        <v>0</v>
      </c>
      <c r="G61" t="s">
        <v>16</v>
      </c>
      <c r="H61" t="s">
        <v>8</v>
      </c>
      <c r="I61" t="s">
        <v>9</v>
      </c>
      <c r="J61" t="s">
        <v>14</v>
      </c>
      <c r="K61" t="s">
        <v>23</v>
      </c>
      <c r="L61" t="s">
        <v>16</v>
      </c>
      <c r="M61" t="s">
        <v>69</v>
      </c>
      <c r="N61" t="s">
        <v>69</v>
      </c>
      <c r="O61" t="s">
        <v>72</v>
      </c>
      <c r="P61">
        <v>6</v>
      </c>
    </row>
    <row r="62" spans="1:16">
      <c r="A62" t="s">
        <v>167</v>
      </c>
      <c r="B62" t="s">
        <v>139</v>
      </c>
      <c r="C62" t="s">
        <v>83</v>
      </c>
      <c r="D62">
        <v>4</v>
      </c>
      <c r="E62">
        <v>0</v>
      </c>
      <c r="F62">
        <v>0</v>
      </c>
      <c r="G62" t="s">
        <v>17</v>
      </c>
      <c r="H62" t="s">
        <v>8</v>
      </c>
      <c r="I62" t="s">
        <v>9</v>
      </c>
      <c r="J62" t="s">
        <v>14</v>
      </c>
      <c r="K62" t="s">
        <v>23</v>
      </c>
      <c r="L62" t="s">
        <v>17</v>
      </c>
      <c r="M62" t="s">
        <v>69</v>
      </c>
      <c r="N62" t="s">
        <v>69</v>
      </c>
      <c r="O62" t="s">
        <v>74</v>
      </c>
      <c r="P62">
        <v>5</v>
      </c>
    </row>
    <row r="63" spans="1:16">
      <c r="A63" t="s">
        <v>167</v>
      </c>
      <c r="B63" t="s">
        <v>139</v>
      </c>
      <c r="C63" t="s">
        <v>83</v>
      </c>
      <c r="D63">
        <v>4</v>
      </c>
      <c r="E63">
        <v>0</v>
      </c>
      <c r="F63">
        <v>0</v>
      </c>
      <c r="G63" t="s">
        <v>22</v>
      </c>
      <c r="H63" t="s">
        <v>10</v>
      </c>
      <c r="I63" t="s">
        <v>13</v>
      </c>
      <c r="J63" t="s">
        <v>57</v>
      </c>
      <c r="K63" t="s">
        <v>69</v>
      </c>
      <c r="L63" t="s">
        <v>22</v>
      </c>
      <c r="M63" t="s">
        <v>69</v>
      </c>
      <c r="N63" t="s">
        <v>69</v>
      </c>
      <c r="O63" t="s">
        <v>70</v>
      </c>
      <c r="P63">
        <v>15</v>
      </c>
    </row>
    <row r="64" spans="1:16">
      <c r="A64" t="s">
        <v>167</v>
      </c>
      <c r="B64" t="s">
        <v>139</v>
      </c>
      <c r="C64" t="s">
        <v>83</v>
      </c>
      <c r="D64">
        <v>4</v>
      </c>
      <c r="E64">
        <v>0</v>
      </c>
      <c r="F64">
        <v>0</v>
      </c>
      <c r="G64" t="s">
        <v>148</v>
      </c>
      <c r="H64" t="s">
        <v>8</v>
      </c>
      <c r="I64" t="s">
        <v>9</v>
      </c>
      <c r="J64" t="s">
        <v>26</v>
      </c>
      <c r="K64" t="s">
        <v>69</v>
      </c>
      <c r="L64" t="s">
        <v>69</v>
      </c>
      <c r="M64" t="s">
        <v>69</v>
      </c>
      <c r="N64" t="s">
        <v>69</v>
      </c>
      <c r="O64" t="s">
        <v>72</v>
      </c>
      <c r="P64">
        <v>14</v>
      </c>
    </row>
    <row r="65" spans="1:16">
      <c r="A65" t="s">
        <v>167</v>
      </c>
      <c r="B65" t="s">
        <v>139</v>
      </c>
      <c r="C65" t="s">
        <v>83</v>
      </c>
      <c r="D65">
        <v>4</v>
      </c>
      <c r="E65">
        <v>0</v>
      </c>
      <c r="F65">
        <v>0</v>
      </c>
      <c r="G65" t="s">
        <v>149</v>
      </c>
      <c r="H65" t="s">
        <v>8</v>
      </c>
      <c r="I65" t="s">
        <v>9</v>
      </c>
      <c r="J65" t="s">
        <v>26</v>
      </c>
      <c r="K65" t="s">
        <v>69</v>
      </c>
      <c r="L65" t="s">
        <v>27</v>
      </c>
      <c r="M65" t="s">
        <v>69</v>
      </c>
      <c r="N65" t="s">
        <v>69</v>
      </c>
      <c r="O65" t="s">
        <v>70</v>
      </c>
      <c r="P65">
        <v>2</v>
      </c>
    </row>
    <row r="66" spans="1:16">
      <c r="A66" t="s">
        <v>167</v>
      </c>
      <c r="B66" t="s">
        <v>139</v>
      </c>
      <c r="C66" t="s">
        <v>83</v>
      </c>
      <c r="D66">
        <v>4</v>
      </c>
      <c r="E66">
        <v>0</v>
      </c>
      <c r="F66">
        <v>0</v>
      </c>
      <c r="G66" t="s">
        <v>56</v>
      </c>
      <c r="H66" t="s">
        <v>11</v>
      </c>
      <c r="I66" t="s">
        <v>56</v>
      </c>
      <c r="J66" t="s">
        <v>69</v>
      </c>
      <c r="K66" t="s">
        <v>69</v>
      </c>
      <c r="L66" t="s">
        <v>69</v>
      </c>
      <c r="M66" t="s">
        <v>69</v>
      </c>
      <c r="N66" t="s">
        <v>69</v>
      </c>
      <c r="O66" t="s">
        <v>74</v>
      </c>
      <c r="P66">
        <v>1</v>
      </c>
    </row>
    <row r="67" spans="1:16">
      <c r="A67" t="s">
        <v>167</v>
      </c>
      <c r="B67" t="s">
        <v>139</v>
      </c>
      <c r="C67" t="s">
        <v>83</v>
      </c>
      <c r="D67">
        <v>4</v>
      </c>
      <c r="E67">
        <v>0</v>
      </c>
      <c r="F67">
        <v>0</v>
      </c>
      <c r="G67" t="s">
        <v>49</v>
      </c>
      <c r="H67" t="s">
        <v>8</v>
      </c>
      <c r="I67" t="s">
        <v>48</v>
      </c>
      <c r="J67" t="s">
        <v>49</v>
      </c>
      <c r="K67" t="s">
        <v>69</v>
      </c>
      <c r="L67" t="s">
        <v>50</v>
      </c>
      <c r="M67" t="s">
        <v>51</v>
      </c>
      <c r="N67" t="s">
        <v>69</v>
      </c>
      <c r="O67" t="s">
        <v>71</v>
      </c>
      <c r="P67">
        <v>270</v>
      </c>
    </row>
    <row r="68" spans="1:16">
      <c r="A68" t="s">
        <v>167</v>
      </c>
      <c r="B68" t="s">
        <v>139</v>
      </c>
      <c r="C68" t="s">
        <v>83</v>
      </c>
      <c r="D68">
        <v>4</v>
      </c>
      <c r="E68">
        <v>0</v>
      </c>
      <c r="F68">
        <v>0</v>
      </c>
      <c r="G68" t="s">
        <v>90</v>
      </c>
      <c r="H68" t="s">
        <v>8</v>
      </c>
      <c r="I68" t="s">
        <v>87</v>
      </c>
      <c r="J68" t="s">
        <v>90</v>
      </c>
      <c r="K68" t="s">
        <v>69</v>
      </c>
      <c r="L68" t="s">
        <v>69</v>
      </c>
      <c r="M68" t="s">
        <v>69</v>
      </c>
      <c r="N68" t="s">
        <v>69</v>
      </c>
      <c r="O68" t="s">
        <v>72</v>
      </c>
      <c r="P68">
        <v>1</v>
      </c>
    </row>
    <row r="69" spans="1:16">
      <c r="A69" t="s">
        <v>167</v>
      </c>
      <c r="B69" t="s">
        <v>139</v>
      </c>
      <c r="C69" t="s">
        <v>83</v>
      </c>
      <c r="D69">
        <v>4</v>
      </c>
      <c r="E69">
        <v>0</v>
      </c>
      <c r="F69">
        <v>0</v>
      </c>
      <c r="G69" t="s">
        <v>145</v>
      </c>
      <c r="H69" t="s">
        <v>8</v>
      </c>
      <c r="I69" t="s">
        <v>52</v>
      </c>
      <c r="J69" t="s">
        <v>39</v>
      </c>
      <c r="K69" t="s">
        <v>69</v>
      </c>
      <c r="L69" t="s">
        <v>145</v>
      </c>
      <c r="M69" t="s">
        <v>69</v>
      </c>
      <c r="N69" t="s">
        <v>69</v>
      </c>
      <c r="O69" t="s">
        <v>72</v>
      </c>
      <c r="P69">
        <v>5</v>
      </c>
    </row>
    <row r="70" spans="1:16">
      <c r="A70" t="s">
        <v>167</v>
      </c>
      <c r="B70" t="s">
        <v>139</v>
      </c>
      <c r="C70" t="s">
        <v>83</v>
      </c>
      <c r="D70">
        <v>4</v>
      </c>
      <c r="E70">
        <v>0</v>
      </c>
      <c r="F70">
        <v>0</v>
      </c>
      <c r="G70" s="7" t="s">
        <v>146</v>
      </c>
      <c r="H70" t="s">
        <v>8</v>
      </c>
      <c r="I70" t="s">
        <v>91</v>
      </c>
      <c r="J70" t="s">
        <v>92</v>
      </c>
      <c r="K70" t="s">
        <v>69</v>
      </c>
      <c r="L70" t="s">
        <v>93</v>
      </c>
      <c r="M70" t="s">
        <v>94</v>
      </c>
      <c r="N70" t="s">
        <v>95</v>
      </c>
      <c r="O70" t="s">
        <v>75</v>
      </c>
      <c r="P70">
        <v>3</v>
      </c>
    </row>
    <row r="71" spans="1:16">
      <c r="A71" t="s">
        <v>167</v>
      </c>
      <c r="B71" t="s">
        <v>139</v>
      </c>
      <c r="C71" t="s">
        <v>83</v>
      </c>
      <c r="D71">
        <v>4</v>
      </c>
      <c r="E71">
        <v>0</v>
      </c>
      <c r="F71">
        <v>0</v>
      </c>
      <c r="G71" t="s">
        <v>119</v>
      </c>
      <c r="H71" t="s">
        <v>8</v>
      </c>
      <c r="I71" t="s">
        <v>9</v>
      </c>
      <c r="J71" t="s">
        <v>118</v>
      </c>
      <c r="K71" t="s">
        <v>119</v>
      </c>
      <c r="L71" t="s">
        <v>69</v>
      </c>
      <c r="M71" t="s">
        <v>69</v>
      </c>
      <c r="N71" t="s">
        <v>69</v>
      </c>
      <c r="O71" t="s">
        <v>72</v>
      </c>
      <c r="P71">
        <v>1</v>
      </c>
    </row>
    <row r="72" spans="1:16">
      <c r="A72" t="s">
        <v>168</v>
      </c>
      <c r="B72" t="s">
        <v>140</v>
      </c>
      <c r="C72" t="s">
        <v>82</v>
      </c>
      <c r="D72">
        <v>1</v>
      </c>
      <c r="E72">
        <v>0</v>
      </c>
      <c r="F72">
        <v>0</v>
      </c>
      <c r="G72" t="s">
        <v>0</v>
      </c>
      <c r="H72" t="s">
        <v>8</v>
      </c>
      <c r="I72" t="s">
        <v>20</v>
      </c>
      <c r="J72" t="s">
        <v>21</v>
      </c>
      <c r="K72" t="s">
        <v>40</v>
      </c>
      <c r="L72" t="s">
        <v>0</v>
      </c>
      <c r="M72" t="s">
        <v>69</v>
      </c>
      <c r="N72" t="s">
        <v>69</v>
      </c>
      <c r="O72" t="s">
        <v>73</v>
      </c>
      <c r="P72">
        <v>2</v>
      </c>
    </row>
    <row r="73" spans="1:16">
      <c r="A73" t="s">
        <v>168</v>
      </c>
      <c r="B73" t="s">
        <v>140</v>
      </c>
      <c r="C73" t="s">
        <v>82</v>
      </c>
      <c r="D73">
        <v>1</v>
      </c>
      <c r="E73">
        <v>0</v>
      </c>
      <c r="F73">
        <v>0</v>
      </c>
      <c r="G73" t="s">
        <v>148</v>
      </c>
      <c r="H73" t="s">
        <v>8</v>
      </c>
      <c r="I73" t="s">
        <v>9</v>
      </c>
      <c r="J73" t="s">
        <v>26</v>
      </c>
      <c r="K73" t="s">
        <v>69</v>
      </c>
      <c r="L73" t="s">
        <v>69</v>
      </c>
      <c r="M73" t="s">
        <v>69</v>
      </c>
      <c r="N73" t="s">
        <v>69</v>
      </c>
      <c r="O73" t="s">
        <v>72</v>
      </c>
      <c r="P73">
        <v>1</v>
      </c>
    </row>
    <row r="74" spans="1:16">
      <c r="A74" t="s">
        <v>168</v>
      </c>
      <c r="B74" t="s">
        <v>140</v>
      </c>
      <c r="C74" t="s">
        <v>82</v>
      </c>
      <c r="D74">
        <v>1</v>
      </c>
      <c r="E74">
        <v>0</v>
      </c>
      <c r="F74">
        <v>0</v>
      </c>
      <c r="G74" s="7" t="s">
        <v>153</v>
      </c>
      <c r="H74" t="s">
        <v>8</v>
      </c>
      <c r="I74" t="s">
        <v>9</v>
      </c>
      <c r="J74" t="s">
        <v>18</v>
      </c>
      <c r="K74" t="s">
        <v>121</v>
      </c>
      <c r="L74" t="s">
        <v>122</v>
      </c>
      <c r="M74" t="s">
        <v>123</v>
      </c>
      <c r="N74" t="s">
        <v>124</v>
      </c>
      <c r="O74" t="s">
        <v>76</v>
      </c>
      <c r="P74">
        <v>2</v>
      </c>
    </row>
    <row r="75" spans="1:16">
      <c r="A75" t="s">
        <v>168</v>
      </c>
      <c r="B75" t="s">
        <v>140</v>
      </c>
      <c r="C75" t="s">
        <v>82</v>
      </c>
      <c r="D75">
        <v>1</v>
      </c>
      <c r="E75">
        <v>0</v>
      </c>
      <c r="F75">
        <v>0</v>
      </c>
      <c r="G75" t="s">
        <v>126</v>
      </c>
      <c r="H75" t="s">
        <v>8</v>
      </c>
      <c r="I75" t="s">
        <v>9</v>
      </c>
      <c r="J75" t="s">
        <v>18</v>
      </c>
      <c r="K75" t="s">
        <v>121</v>
      </c>
      <c r="L75" t="s">
        <v>126</v>
      </c>
      <c r="M75" t="s">
        <v>69</v>
      </c>
      <c r="N75" t="s">
        <v>69</v>
      </c>
      <c r="O75" t="s">
        <v>76</v>
      </c>
      <c r="P75">
        <v>1</v>
      </c>
    </row>
    <row r="76" spans="1:16">
      <c r="A76" t="s">
        <v>169</v>
      </c>
      <c r="B76" t="s">
        <v>140</v>
      </c>
      <c r="C76" t="s">
        <v>82</v>
      </c>
      <c r="D76">
        <v>2</v>
      </c>
      <c r="E76">
        <v>0</v>
      </c>
      <c r="F76">
        <v>0</v>
      </c>
      <c r="G76" t="s">
        <v>0</v>
      </c>
      <c r="H76" t="s">
        <v>8</v>
      </c>
      <c r="I76" t="s">
        <v>20</v>
      </c>
      <c r="J76" t="s">
        <v>21</v>
      </c>
      <c r="K76" t="s">
        <v>40</v>
      </c>
      <c r="L76" t="s">
        <v>0</v>
      </c>
      <c r="M76" t="s">
        <v>69</v>
      </c>
      <c r="N76" t="s">
        <v>69</v>
      </c>
      <c r="O76" t="s">
        <v>73</v>
      </c>
      <c r="P76">
        <v>4</v>
      </c>
    </row>
    <row r="77" spans="1:16">
      <c r="A77" t="s">
        <v>169</v>
      </c>
      <c r="B77" t="s">
        <v>140</v>
      </c>
      <c r="C77" t="s">
        <v>82</v>
      </c>
      <c r="D77">
        <v>2</v>
      </c>
      <c r="E77">
        <v>0</v>
      </c>
      <c r="F77">
        <v>0</v>
      </c>
      <c r="G77" t="s">
        <v>22</v>
      </c>
      <c r="H77" t="s">
        <v>10</v>
      </c>
      <c r="I77" t="s">
        <v>13</v>
      </c>
      <c r="J77" t="s">
        <v>57</v>
      </c>
      <c r="K77" t="s">
        <v>69</v>
      </c>
      <c r="L77" t="s">
        <v>22</v>
      </c>
      <c r="M77" t="s">
        <v>69</v>
      </c>
      <c r="N77" t="s">
        <v>69</v>
      </c>
      <c r="O77" t="s">
        <v>70</v>
      </c>
      <c r="P77">
        <v>1</v>
      </c>
    </row>
    <row r="78" spans="1:16">
      <c r="A78" t="s">
        <v>169</v>
      </c>
      <c r="B78" t="s">
        <v>140</v>
      </c>
      <c r="C78" t="s">
        <v>82</v>
      </c>
      <c r="D78">
        <v>2</v>
      </c>
      <c r="E78">
        <v>0</v>
      </c>
      <c r="F78">
        <v>0</v>
      </c>
      <c r="G78" t="s">
        <v>148</v>
      </c>
      <c r="H78" t="s">
        <v>8</v>
      </c>
      <c r="I78" t="s">
        <v>9</v>
      </c>
      <c r="J78" t="s">
        <v>26</v>
      </c>
      <c r="K78" t="s">
        <v>69</v>
      </c>
      <c r="L78" t="s">
        <v>69</v>
      </c>
      <c r="M78" t="s">
        <v>69</v>
      </c>
      <c r="N78" t="s">
        <v>69</v>
      </c>
      <c r="O78" t="s">
        <v>72</v>
      </c>
      <c r="P78">
        <v>1</v>
      </c>
    </row>
    <row r="79" spans="1:16">
      <c r="A79" t="s">
        <v>169</v>
      </c>
      <c r="B79" t="s">
        <v>140</v>
      </c>
      <c r="C79" t="s">
        <v>82</v>
      </c>
      <c r="D79">
        <v>2</v>
      </c>
      <c r="E79">
        <v>0</v>
      </c>
      <c r="F79">
        <v>0</v>
      </c>
      <c r="G79" t="s">
        <v>149</v>
      </c>
      <c r="H79" t="s">
        <v>8</v>
      </c>
      <c r="I79" t="s">
        <v>9</v>
      </c>
      <c r="J79" t="s">
        <v>26</v>
      </c>
      <c r="K79" t="s">
        <v>69</v>
      </c>
      <c r="L79" t="s">
        <v>27</v>
      </c>
      <c r="M79" t="s">
        <v>69</v>
      </c>
      <c r="N79" t="s">
        <v>69</v>
      </c>
      <c r="O79" t="s">
        <v>70</v>
      </c>
      <c r="P79">
        <v>1</v>
      </c>
    </row>
    <row r="80" spans="1:16">
      <c r="A80" t="s">
        <v>169</v>
      </c>
      <c r="B80" t="s">
        <v>140</v>
      </c>
      <c r="C80" t="s">
        <v>82</v>
      </c>
      <c r="D80">
        <v>2</v>
      </c>
      <c r="E80">
        <v>0</v>
      </c>
      <c r="F80">
        <v>0</v>
      </c>
      <c r="G80" s="7" t="s">
        <v>144</v>
      </c>
      <c r="H80" t="s">
        <v>11</v>
      </c>
      <c r="I80" t="s">
        <v>35</v>
      </c>
      <c r="J80" t="s">
        <v>54</v>
      </c>
      <c r="K80" t="s">
        <v>69</v>
      </c>
      <c r="L80" t="s">
        <v>55</v>
      </c>
      <c r="M80" t="s">
        <v>30</v>
      </c>
      <c r="N80" t="s">
        <v>33</v>
      </c>
      <c r="O80" t="s">
        <v>71</v>
      </c>
      <c r="P80">
        <v>1</v>
      </c>
    </row>
    <row r="81" spans="1:16">
      <c r="A81" t="s">
        <v>169</v>
      </c>
      <c r="B81" t="s">
        <v>140</v>
      </c>
      <c r="C81" t="s">
        <v>82</v>
      </c>
      <c r="D81">
        <v>2</v>
      </c>
      <c r="E81">
        <v>0</v>
      </c>
      <c r="F81">
        <v>0</v>
      </c>
      <c r="G81" t="s">
        <v>34</v>
      </c>
      <c r="H81" t="s">
        <v>11</v>
      </c>
      <c r="I81" t="s">
        <v>35</v>
      </c>
      <c r="J81" t="s">
        <v>36</v>
      </c>
      <c r="K81" t="s">
        <v>69</v>
      </c>
      <c r="L81" t="s">
        <v>37</v>
      </c>
      <c r="M81" t="s">
        <v>34</v>
      </c>
      <c r="N81" t="s">
        <v>69</v>
      </c>
      <c r="O81" t="s">
        <v>71</v>
      </c>
      <c r="P81">
        <v>2</v>
      </c>
    </row>
    <row r="82" spans="1:16">
      <c r="A82" t="s">
        <v>169</v>
      </c>
      <c r="B82" t="s">
        <v>140</v>
      </c>
      <c r="C82" t="s">
        <v>82</v>
      </c>
      <c r="D82">
        <v>2</v>
      </c>
      <c r="E82">
        <v>0</v>
      </c>
      <c r="F82">
        <v>0</v>
      </c>
      <c r="G82" t="s">
        <v>100</v>
      </c>
      <c r="H82" t="s">
        <v>8</v>
      </c>
      <c r="I82" t="s">
        <v>99</v>
      </c>
      <c r="J82" t="s">
        <v>100</v>
      </c>
      <c r="K82" t="s">
        <v>69</v>
      </c>
      <c r="L82" t="s">
        <v>69</v>
      </c>
      <c r="M82" t="s">
        <v>69</v>
      </c>
      <c r="N82" t="s">
        <v>69</v>
      </c>
      <c r="O82" t="s">
        <v>71</v>
      </c>
      <c r="P82">
        <v>1</v>
      </c>
    </row>
    <row r="83" spans="1:16">
      <c r="A83" t="s">
        <v>169</v>
      </c>
      <c r="B83" t="s">
        <v>140</v>
      </c>
      <c r="C83" t="s">
        <v>82</v>
      </c>
      <c r="D83">
        <v>2</v>
      </c>
      <c r="E83">
        <v>0</v>
      </c>
      <c r="F83">
        <v>0</v>
      </c>
      <c r="G83" t="s">
        <v>126</v>
      </c>
      <c r="H83" t="s">
        <v>8</v>
      </c>
      <c r="I83" t="s">
        <v>9</v>
      </c>
      <c r="J83" t="s">
        <v>18</v>
      </c>
      <c r="K83" t="s">
        <v>121</v>
      </c>
      <c r="L83" t="s">
        <v>126</v>
      </c>
      <c r="M83" t="s">
        <v>69</v>
      </c>
      <c r="N83" t="s">
        <v>69</v>
      </c>
      <c r="O83" t="s">
        <v>76</v>
      </c>
      <c r="P83">
        <v>1</v>
      </c>
    </row>
    <row r="84" spans="1:16">
      <c r="A84" t="s">
        <v>169</v>
      </c>
      <c r="B84" t="s">
        <v>140</v>
      </c>
      <c r="C84" t="s">
        <v>82</v>
      </c>
      <c r="D84">
        <v>2</v>
      </c>
      <c r="E84">
        <v>0</v>
      </c>
      <c r="F84">
        <v>0</v>
      </c>
      <c r="G84" t="s">
        <v>128</v>
      </c>
      <c r="H84" t="s">
        <v>8</v>
      </c>
      <c r="I84" t="s">
        <v>91</v>
      </c>
      <c r="J84" t="s">
        <v>101</v>
      </c>
      <c r="K84" t="s">
        <v>128</v>
      </c>
      <c r="L84" t="s">
        <v>69</v>
      </c>
      <c r="M84" t="s">
        <v>69</v>
      </c>
      <c r="N84" t="s">
        <v>69</v>
      </c>
      <c r="O84" t="s">
        <v>72</v>
      </c>
      <c r="P84">
        <v>1</v>
      </c>
    </row>
    <row r="85" spans="1:16">
      <c r="A85" t="s">
        <v>170</v>
      </c>
      <c r="B85" t="s">
        <v>140</v>
      </c>
      <c r="C85" t="s">
        <v>82</v>
      </c>
      <c r="D85">
        <v>3</v>
      </c>
      <c r="E85">
        <v>0</v>
      </c>
      <c r="F85">
        <v>0</v>
      </c>
      <c r="G85" t="s">
        <v>0</v>
      </c>
      <c r="H85" t="s">
        <v>8</v>
      </c>
      <c r="I85" t="s">
        <v>20</v>
      </c>
      <c r="J85" t="s">
        <v>21</v>
      </c>
      <c r="K85" t="s">
        <v>40</v>
      </c>
      <c r="L85" t="s">
        <v>0</v>
      </c>
      <c r="M85" t="s">
        <v>69</v>
      </c>
      <c r="N85" t="s">
        <v>69</v>
      </c>
      <c r="O85" t="s">
        <v>73</v>
      </c>
      <c r="P85">
        <v>1</v>
      </c>
    </row>
    <row r="86" spans="1:16">
      <c r="A86" t="s">
        <v>170</v>
      </c>
      <c r="B86" t="s">
        <v>140</v>
      </c>
      <c r="C86" t="s">
        <v>82</v>
      </c>
      <c r="D86">
        <v>3</v>
      </c>
      <c r="E86">
        <v>0</v>
      </c>
      <c r="F86">
        <v>0</v>
      </c>
      <c r="G86" t="s">
        <v>148</v>
      </c>
      <c r="H86" t="s">
        <v>8</v>
      </c>
      <c r="I86" t="s">
        <v>9</v>
      </c>
      <c r="J86" t="s">
        <v>26</v>
      </c>
      <c r="K86" t="s">
        <v>69</v>
      </c>
      <c r="L86" t="s">
        <v>69</v>
      </c>
      <c r="M86" t="s">
        <v>69</v>
      </c>
      <c r="N86" t="s">
        <v>69</v>
      </c>
      <c r="O86" t="s">
        <v>72</v>
      </c>
      <c r="P86">
        <v>1</v>
      </c>
    </row>
    <row r="87" spans="1:16">
      <c r="A87" t="s">
        <v>171</v>
      </c>
      <c r="B87" t="s">
        <v>140</v>
      </c>
      <c r="C87" t="s">
        <v>82</v>
      </c>
      <c r="D87">
        <v>4</v>
      </c>
      <c r="E87">
        <v>0</v>
      </c>
      <c r="F87">
        <v>0</v>
      </c>
      <c r="G87" t="s">
        <v>0</v>
      </c>
      <c r="H87" t="s">
        <v>8</v>
      </c>
      <c r="I87" t="s">
        <v>20</v>
      </c>
      <c r="J87" t="s">
        <v>21</v>
      </c>
      <c r="K87" t="s">
        <v>40</v>
      </c>
      <c r="L87" t="s">
        <v>0</v>
      </c>
      <c r="M87" t="s">
        <v>69</v>
      </c>
      <c r="N87" t="s">
        <v>69</v>
      </c>
      <c r="O87" t="s">
        <v>73</v>
      </c>
      <c r="P87">
        <v>12</v>
      </c>
    </row>
    <row r="88" spans="1:16">
      <c r="A88" t="s">
        <v>171</v>
      </c>
      <c r="B88" t="s">
        <v>140</v>
      </c>
      <c r="C88" t="s">
        <v>82</v>
      </c>
      <c r="D88">
        <v>4</v>
      </c>
      <c r="E88">
        <v>0</v>
      </c>
      <c r="F88">
        <v>0</v>
      </c>
      <c r="G88" t="s">
        <v>22</v>
      </c>
      <c r="H88" t="s">
        <v>10</v>
      </c>
      <c r="I88" t="s">
        <v>13</v>
      </c>
      <c r="J88" t="s">
        <v>57</v>
      </c>
      <c r="K88" t="s">
        <v>69</v>
      </c>
      <c r="L88" t="s">
        <v>22</v>
      </c>
      <c r="M88" t="s">
        <v>69</v>
      </c>
      <c r="N88" t="s">
        <v>69</v>
      </c>
      <c r="O88" t="s">
        <v>70</v>
      </c>
      <c r="P88">
        <v>3</v>
      </c>
    </row>
    <row r="89" spans="1:16">
      <c r="A89" t="s">
        <v>171</v>
      </c>
      <c r="B89" t="s">
        <v>140</v>
      </c>
      <c r="C89" t="s">
        <v>82</v>
      </c>
      <c r="D89">
        <v>4</v>
      </c>
      <c r="E89">
        <v>0</v>
      </c>
      <c r="F89">
        <v>0</v>
      </c>
      <c r="G89" t="s">
        <v>148</v>
      </c>
      <c r="H89" t="s">
        <v>8</v>
      </c>
      <c r="I89" t="s">
        <v>9</v>
      </c>
      <c r="J89" t="s">
        <v>26</v>
      </c>
      <c r="K89" t="s">
        <v>69</v>
      </c>
      <c r="L89" t="s">
        <v>69</v>
      </c>
      <c r="M89" t="s">
        <v>69</v>
      </c>
      <c r="N89" t="s">
        <v>69</v>
      </c>
      <c r="O89" t="s">
        <v>72</v>
      </c>
      <c r="P89">
        <v>1</v>
      </c>
    </row>
    <row r="90" spans="1:16">
      <c r="A90" t="s">
        <v>171</v>
      </c>
      <c r="B90" t="s">
        <v>140</v>
      </c>
      <c r="C90" t="s">
        <v>82</v>
      </c>
      <c r="D90">
        <v>4</v>
      </c>
      <c r="E90">
        <v>0</v>
      </c>
      <c r="F90">
        <v>0</v>
      </c>
      <c r="G90" t="s">
        <v>103</v>
      </c>
      <c r="H90" t="s">
        <v>8</v>
      </c>
      <c r="I90" t="s">
        <v>91</v>
      </c>
      <c r="J90" t="s">
        <v>101</v>
      </c>
      <c r="K90" t="s">
        <v>102</v>
      </c>
      <c r="L90" t="s">
        <v>103</v>
      </c>
      <c r="M90" t="s">
        <v>69</v>
      </c>
      <c r="N90" t="s">
        <v>69</v>
      </c>
      <c r="O90" t="s">
        <v>72</v>
      </c>
      <c r="P90">
        <v>1</v>
      </c>
    </row>
    <row r="91" spans="1:16">
      <c r="A91" t="s">
        <v>172</v>
      </c>
      <c r="B91" t="s">
        <v>140</v>
      </c>
      <c r="C91" t="s">
        <v>81</v>
      </c>
      <c r="D91">
        <v>1</v>
      </c>
      <c r="E91">
        <v>0</v>
      </c>
      <c r="F91">
        <v>0</v>
      </c>
      <c r="G91" t="s">
        <v>0</v>
      </c>
      <c r="H91" t="s">
        <v>8</v>
      </c>
      <c r="I91" t="s">
        <v>20</v>
      </c>
      <c r="J91" t="s">
        <v>21</v>
      </c>
      <c r="K91" t="s">
        <v>40</v>
      </c>
      <c r="L91" t="s">
        <v>0</v>
      </c>
      <c r="M91" t="s">
        <v>69</v>
      </c>
      <c r="N91" t="s">
        <v>69</v>
      </c>
      <c r="O91" t="s">
        <v>73</v>
      </c>
      <c r="P91">
        <v>108</v>
      </c>
    </row>
    <row r="92" spans="1:16">
      <c r="A92" t="s">
        <v>172</v>
      </c>
      <c r="B92" t="s">
        <v>140</v>
      </c>
      <c r="C92" t="s">
        <v>81</v>
      </c>
      <c r="D92">
        <v>1</v>
      </c>
      <c r="E92">
        <v>0</v>
      </c>
      <c r="F92">
        <v>0</v>
      </c>
      <c r="G92" t="s">
        <v>22</v>
      </c>
      <c r="H92" t="s">
        <v>10</v>
      </c>
      <c r="I92" t="s">
        <v>13</v>
      </c>
      <c r="J92" t="s">
        <v>57</v>
      </c>
      <c r="K92" t="s">
        <v>69</v>
      </c>
      <c r="L92" t="s">
        <v>22</v>
      </c>
      <c r="M92" t="s">
        <v>69</v>
      </c>
      <c r="N92" t="s">
        <v>69</v>
      </c>
      <c r="O92" t="s">
        <v>70</v>
      </c>
      <c r="P92">
        <v>81</v>
      </c>
    </row>
    <row r="93" spans="1:16">
      <c r="A93" t="s">
        <v>172</v>
      </c>
      <c r="B93" t="s">
        <v>140</v>
      </c>
      <c r="C93" t="s">
        <v>81</v>
      </c>
      <c r="D93">
        <v>1</v>
      </c>
      <c r="E93">
        <v>0</v>
      </c>
      <c r="F93">
        <v>0</v>
      </c>
      <c r="G93" t="s">
        <v>38</v>
      </c>
      <c r="H93" t="s">
        <v>8</v>
      </c>
      <c r="I93" t="s">
        <v>53</v>
      </c>
      <c r="J93" t="s">
        <v>38</v>
      </c>
      <c r="K93" t="s">
        <v>69</v>
      </c>
      <c r="L93" t="s">
        <v>69</v>
      </c>
      <c r="M93" t="s">
        <v>69</v>
      </c>
      <c r="N93" t="s">
        <v>69</v>
      </c>
      <c r="O93" t="s">
        <v>71</v>
      </c>
      <c r="P93">
        <v>54</v>
      </c>
    </row>
    <row r="94" spans="1:16">
      <c r="A94" t="s">
        <v>172</v>
      </c>
      <c r="B94" t="s">
        <v>140</v>
      </c>
      <c r="C94" t="s">
        <v>81</v>
      </c>
      <c r="D94">
        <v>1</v>
      </c>
      <c r="E94">
        <v>0</v>
      </c>
      <c r="F94">
        <v>0</v>
      </c>
      <c r="G94" t="s">
        <v>49</v>
      </c>
      <c r="H94" t="s">
        <v>8</v>
      </c>
      <c r="I94" t="s">
        <v>48</v>
      </c>
      <c r="J94" t="s">
        <v>49</v>
      </c>
      <c r="K94" t="s">
        <v>69</v>
      </c>
      <c r="L94" t="s">
        <v>50</v>
      </c>
      <c r="M94" t="s">
        <v>51</v>
      </c>
      <c r="N94" t="s">
        <v>69</v>
      </c>
      <c r="O94" t="s">
        <v>71</v>
      </c>
      <c r="P94">
        <v>108</v>
      </c>
    </row>
    <row r="95" spans="1:16">
      <c r="A95" t="s">
        <v>172</v>
      </c>
      <c r="B95" t="s">
        <v>140</v>
      </c>
      <c r="C95" t="s">
        <v>81</v>
      </c>
      <c r="D95">
        <v>1</v>
      </c>
      <c r="E95">
        <v>0</v>
      </c>
      <c r="F95">
        <v>0</v>
      </c>
      <c r="G95" t="s">
        <v>147</v>
      </c>
      <c r="H95" t="s">
        <v>8</v>
      </c>
      <c r="I95" t="s">
        <v>9</v>
      </c>
      <c r="J95" t="s">
        <v>18</v>
      </c>
      <c r="K95" t="s">
        <v>69</v>
      </c>
      <c r="L95" t="s">
        <v>69</v>
      </c>
      <c r="M95" t="s">
        <v>69</v>
      </c>
      <c r="N95" t="s">
        <v>69</v>
      </c>
      <c r="O95" t="s">
        <v>72</v>
      </c>
      <c r="P95">
        <v>85</v>
      </c>
    </row>
    <row r="96" spans="1:16">
      <c r="A96" t="s">
        <v>172</v>
      </c>
      <c r="B96" t="s">
        <v>140</v>
      </c>
      <c r="C96" t="s">
        <v>81</v>
      </c>
      <c r="D96">
        <v>1</v>
      </c>
      <c r="E96">
        <v>0</v>
      </c>
      <c r="F96">
        <v>0</v>
      </c>
      <c r="G96" t="s">
        <v>97</v>
      </c>
      <c r="H96" t="s">
        <v>8</v>
      </c>
      <c r="I96" t="s">
        <v>97</v>
      </c>
      <c r="J96" t="s">
        <v>98</v>
      </c>
      <c r="K96" t="s">
        <v>69</v>
      </c>
      <c r="L96" t="s">
        <v>69</v>
      </c>
      <c r="M96" t="s">
        <v>69</v>
      </c>
      <c r="N96" t="s">
        <v>69</v>
      </c>
      <c r="O96" t="s">
        <v>70</v>
      </c>
      <c r="P96">
        <v>135</v>
      </c>
    </row>
    <row r="97" spans="1:16">
      <c r="A97" t="s">
        <v>172</v>
      </c>
      <c r="B97" t="s">
        <v>140</v>
      </c>
      <c r="C97" t="s">
        <v>81</v>
      </c>
      <c r="D97">
        <v>1</v>
      </c>
      <c r="E97">
        <v>0</v>
      </c>
      <c r="F97">
        <v>0</v>
      </c>
      <c r="G97" t="s">
        <v>141</v>
      </c>
      <c r="H97" t="s">
        <v>8</v>
      </c>
      <c r="I97" t="s">
        <v>52</v>
      </c>
      <c r="J97" t="s">
        <v>104</v>
      </c>
      <c r="K97" t="s">
        <v>105</v>
      </c>
      <c r="L97" t="s">
        <v>141</v>
      </c>
      <c r="M97" t="s">
        <v>69</v>
      </c>
      <c r="N97" t="s">
        <v>69</v>
      </c>
      <c r="O97" t="s">
        <v>72</v>
      </c>
      <c r="P97">
        <v>2</v>
      </c>
    </row>
    <row r="98" spans="1:16">
      <c r="A98" t="s">
        <v>173</v>
      </c>
      <c r="B98" t="s">
        <v>140</v>
      </c>
      <c r="C98" t="s">
        <v>81</v>
      </c>
      <c r="D98">
        <v>2</v>
      </c>
      <c r="E98">
        <v>0</v>
      </c>
      <c r="F98">
        <v>0</v>
      </c>
      <c r="G98" t="s">
        <v>17</v>
      </c>
      <c r="H98" t="s">
        <v>8</v>
      </c>
      <c r="I98" t="s">
        <v>9</v>
      </c>
      <c r="J98" t="s">
        <v>14</v>
      </c>
      <c r="K98" t="s">
        <v>23</v>
      </c>
      <c r="L98" t="s">
        <v>17</v>
      </c>
      <c r="M98" t="s">
        <v>69</v>
      </c>
      <c r="N98" t="s">
        <v>69</v>
      </c>
      <c r="O98" t="s">
        <v>74</v>
      </c>
      <c r="P98">
        <v>1</v>
      </c>
    </row>
    <row r="99" spans="1:16">
      <c r="A99" t="s">
        <v>173</v>
      </c>
      <c r="B99" t="s">
        <v>140</v>
      </c>
      <c r="C99" t="s">
        <v>81</v>
      </c>
      <c r="D99">
        <v>2</v>
      </c>
      <c r="E99">
        <v>0</v>
      </c>
      <c r="F99">
        <v>0</v>
      </c>
      <c r="G99" t="s">
        <v>0</v>
      </c>
      <c r="H99" t="s">
        <v>8</v>
      </c>
      <c r="I99" t="s">
        <v>20</v>
      </c>
      <c r="J99" t="s">
        <v>21</v>
      </c>
      <c r="K99" t="s">
        <v>40</v>
      </c>
      <c r="L99" t="s">
        <v>0</v>
      </c>
      <c r="M99" t="s">
        <v>69</v>
      </c>
      <c r="N99" t="s">
        <v>69</v>
      </c>
      <c r="O99" t="s">
        <v>73</v>
      </c>
      <c r="P99">
        <v>432</v>
      </c>
    </row>
    <row r="100" spans="1:16">
      <c r="A100" t="s">
        <v>173</v>
      </c>
      <c r="B100" t="s">
        <v>140</v>
      </c>
      <c r="C100" t="s">
        <v>81</v>
      </c>
      <c r="D100">
        <v>2</v>
      </c>
      <c r="E100">
        <v>0</v>
      </c>
      <c r="F100">
        <v>0</v>
      </c>
      <c r="G100" t="s">
        <v>22</v>
      </c>
      <c r="H100" t="s">
        <v>10</v>
      </c>
      <c r="I100" t="s">
        <v>13</v>
      </c>
      <c r="J100" t="s">
        <v>57</v>
      </c>
      <c r="K100" t="s">
        <v>69</v>
      </c>
      <c r="L100" t="s">
        <v>22</v>
      </c>
      <c r="M100" t="s">
        <v>69</v>
      </c>
      <c r="N100" t="s">
        <v>69</v>
      </c>
      <c r="O100" t="s">
        <v>70</v>
      </c>
      <c r="P100">
        <v>351</v>
      </c>
    </row>
    <row r="101" spans="1:16">
      <c r="A101" t="s">
        <v>173</v>
      </c>
      <c r="B101" t="s">
        <v>140</v>
      </c>
      <c r="C101" t="s">
        <v>81</v>
      </c>
      <c r="D101">
        <v>2</v>
      </c>
      <c r="E101">
        <v>0</v>
      </c>
      <c r="F101">
        <v>0</v>
      </c>
      <c r="G101" t="s">
        <v>148</v>
      </c>
      <c r="H101" t="s">
        <v>8</v>
      </c>
      <c r="I101" t="s">
        <v>9</v>
      </c>
      <c r="J101" t="s">
        <v>26</v>
      </c>
      <c r="K101" t="s">
        <v>69</v>
      </c>
      <c r="L101" t="s">
        <v>69</v>
      </c>
      <c r="M101" t="s">
        <v>69</v>
      </c>
      <c r="N101" t="s">
        <v>69</v>
      </c>
      <c r="O101" t="s">
        <v>72</v>
      </c>
      <c r="P101">
        <v>1</v>
      </c>
    </row>
    <row r="102" spans="1:16">
      <c r="A102" t="s">
        <v>173</v>
      </c>
      <c r="B102" t="s">
        <v>140</v>
      </c>
      <c r="C102" t="s">
        <v>81</v>
      </c>
      <c r="D102">
        <v>2</v>
      </c>
      <c r="E102">
        <v>0</v>
      </c>
      <c r="F102">
        <v>0</v>
      </c>
      <c r="G102" t="s">
        <v>38</v>
      </c>
      <c r="H102" t="s">
        <v>8</v>
      </c>
      <c r="I102" t="s">
        <v>53</v>
      </c>
      <c r="J102" t="s">
        <v>38</v>
      </c>
      <c r="K102" t="s">
        <v>69</v>
      </c>
      <c r="L102" t="s">
        <v>69</v>
      </c>
      <c r="M102" t="s">
        <v>69</v>
      </c>
      <c r="N102" t="s">
        <v>69</v>
      </c>
      <c r="O102" t="s">
        <v>71</v>
      </c>
      <c r="P102">
        <v>1</v>
      </c>
    </row>
    <row r="103" spans="1:16">
      <c r="A103" t="s">
        <v>173</v>
      </c>
      <c r="B103" t="s">
        <v>140</v>
      </c>
      <c r="C103" t="s">
        <v>81</v>
      </c>
      <c r="D103">
        <v>2</v>
      </c>
      <c r="E103">
        <v>0</v>
      </c>
      <c r="F103">
        <v>0</v>
      </c>
      <c r="G103" t="s">
        <v>32</v>
      </c>
      <c r="H103" t="s">
        <v>10</v>
      </c>
      <c r="I103" t="s">
        <v>13</v>
      </c>
      <c r="J103" t="s">
        <v>69</v>
      </c>
      <c r="K103" t="s">
        <v>32</v>
      </c>
      <c r="L103" t="s">
        <v>69</v>
      </c>
      <c r="M103" t="s">
        <v>69</v>
      </c>
      <c r="N103" t="s">
        <v>69</v>
      </c>
      <c r="O103" t="s">
        <v>72</v>
      </c>
      <c r="P103">
        <v>117</v>
      </c>
    </row>
    <row r="104" spans="1:16">
      <c r="A104" t="s">
        <v>173</v>
      </c>
      <c r="B104" t="s">
        <v>140</v>
      </c>
      <c r="C104" t="s">
        <v>81</v>
      </c>
      <c r="D104">
        <v>2</v>
      </c>
      <c r="E104">
        <v>0</v>
      </c>
      <c r="F104">
        <v>0</v>
      </c>
      <c r="G104" t="s">
        <v>145</v>
      </c>
      <c r="H104" t="s">
        <v>8</v>
      </c>
      <c r="I104" t="s">
        <v>52</v>
      </c>
      <c r="J104" t="s">
        <v>39</v>
      </c>
      <c r="K104" t="s">
        <v>69</v>
      </c>
      <c r="L104" t="s">
        <v>145</v>
      </c>
      <c r="M104" t="s">
        <v>69</v>
      </c>
      <c r="N104" t="s">
        <v>69</v>
      </c>
      <c r="O104" t="s">
        <v>72</v>
      </c>
      <c r="P104">
        <v>1</v>
      </c>
    </row>
    <row r="105" spans="1:16">
      <c r="A105" t="s">
        <v>173</v>
      </c>
      <c r="B105" t="s">
        <v>140</v>
      </c>
      <c r="C105" t="s">
        <v>81</v>
      </c>
      <c r="D105">
        <v>2</v>
      </c>
      <c r="E105">
        <v>0</v>
      </c>
      <c r="F105">
        <v>0</v>
      </c>
      <c r="G105" t="s">
        <v>100</v>
      </c>
      <c r="H105" t="s">
        <v>8</v>
      </c>
      <c r="I105" t="s">
        <v>99</v>
      </c>
      <c r="J105" t="s">
        <v>100</v>
      </c>
      <c r="K105" t="s">
        <v>69</v>
      </c>
      <c r="L105" t="s">
        <v>69</v>
      </c>
      <c r="M105" t="s">
        <v>69</v>
      </c>
      <c r="N105" t="s">
        <v>69</v>
      </c>
      <c r="O105" t="s">
        <v>71</v>
      </c>
      <c r="P105">
        <v>2</v>
      </c>
    </row>
    <row r="106" spans="1:16">
      <c r="A106" t="s">
        <v>174</v>
      </c>
      <c r="B106" t="s">
        <v>140</v>
      </c>
      <c r="C106" t="s">
        <v>81</v>
      </c>
      <c r="D106">
        <v>3</v>
      </c>
      <c r="E106">
        <v>0</v>
      </c>
      <c r="F106">
        <v>0</v>
      </c>
      <c r="G106" t="s">
        <v>19</v>
      </c>
      <c r="H106" t="s">
        <v>8</v>
      </c>
      <c r="I106" t="s">
        <v>9</v>
      </c>
      <c r="J106" t="s">
        <v>18</v>
      </c>
      <c r="K106" t="s">
        <v>28</v>
      </c>
      <c r="L106" t="s">
        <v>19</v>
      </c>
      <c r="M106" t="s">
        <v>69</v>
      </c>
      <c r="N106" t="s">
        <v>69</v>
      </c>
      <c r="O106" t="s">
        <v>72</v>
      </c>
      <c r="P106">
        <v>108</v>
      </c>
    </row>
    <row r="107" spans="1:16">
      <c r="A107" t="s">
        <v>174</v>
      </c>
      <c r="B107" t="s">
        <v>140</v>
      </c>
      <c r="C107" t="s">
        <v>81</v>
      </c>
      <c r="D107">
        <v>3</v>
      </c>
      <c r="E107">
        <v>0</v>
      </c>
      <c r="F107">
        <v>0</v>
      </c>
      <c r="G107" t="s">
        <v>22</v>
      </c>
      <c r="H107" t="s">
        <v>10</v>
      </c>
      <c r="I107" t="s">
        <v>13</v>
      </c>
      <c r="J107" t="s">
        <v>57</v>
      </c>
      <c r="K107" t="s">
        <v>69</v>
      </c>
      <c r="L107" t="s">
        <v>22</v>
      </c>
      <c r="M107" t="s">
        <v>69</v>
      </c>
      <c r="N107" t="s">
        <v>69</v>
      </c>
      <c r="O107" t="s">
        <v>70</v>
      </c>
      <c r="P107">
        <v>297</v>
      </c>
    </row>
    <row r="108" spans="1:16">
      <c r="A108" t="s">
        <v>174</v>
      </c>
      <c r="B108" t="s">
        <v>140</v>
      </c>
      <c r="C108" t="s">
        <v>81</v>
      </c>
      <c r="D108">
        <v>3</v>
      </c>
      <c r="E108">
        <v>0</v>
      </c>
      <c r="F108">
        <v>0</v>
      </c>
      <c r="G108" t="s">
        <v>56</v>
      </c>
      <c r="H108" t="s">
        <v>11</v>
      </c>
      <c r="I108" t="s">
        <v>56</v>
      </c>
      <c r="J108" t="s">
        <v>69</v>
      </c>
      <c r="K108" t="s">
        <v>69</v>
      </c>
      <c r="L108" t="s">
        <v>69</v>
      </c>
      <c r="M108" t="s">
        <v>69</v>
      </c>
      <c r="N108" t="s">
        <v>69</v>
      </c>
      <c r="O108" t="s">
        <v>74</v>
      </c>
      <c r="P108">
        <v>1</v>
      </c>
    </row>
    <row r="109" spans="1:16">
      <c r="A109" t="s">
        <v>174</v>
      </c>
      <c r="B109" t="s">
        <v>140</v>
      </c>
      <c r="C109" t="s">
        <v>81</v>
      </c>
      <c r="D109">
        <v>3</v>
      </c>
      <c r="E109">
        <v>0</v>
      </c>
      <c r="F109">
        <v>0</v>
      </c>
      <c r="G109" t="s">
        <v>38</v>
      </c>
      <c r="H109" t="s">
        <v>8</v>
      </c>
      <c r="I109" t="s">
        <v>53</v>
      </c>
      <c r="J109" t="s">
        <v>38</v>
      </c>
      <c r="K109" t="s">
        <v>69</v>
      </c>
      <c r="L109" t="s">
        <v>69</v>
      </c>
      <c r="M109" t="s">
        <v>69</v>
      </c>
      <c r="N109" t="s">
        <v>69</v>
      </c>
      <c r="O109" t="s">
        <v>71</v>
      </c>
      <c r="P109">
        <v>189</v>
      </c>
    </row>
    <row r="110" spans="1:16">
      <c r="A110" t="s">
        <v>174</v>
      </c>
      <c r="B110" t="s">
        <v>140</v>
      </c>
      <c r="C110" t="s">
        <v>81</v>
      </c>
      <c r="D110">
        <v>3</v>
      </c>
      <c r="E110">
        <v>0</v>
      </c>
      <c r="F110">
        <v>0</v>
      </c>
      <c r="G110" t="s">
        <v>49</v>
      </c>
      <c r="H110" t="s">
        <v>8</v>
      </c>
      <c r="I110" t="s">
        <v>48</v>
      </c>
      <c r="J110" t="s">
        <v>49</v>
      </c>
      <c r="K110" t="s">
        <v>69</v>
      </c>
      <c r="L110" t="s">
        <v>50</v>
      </c>
      <c r="M110" t="s">
        <v>51</v>
      </c>
      <c r="N110" t="s">
        <v>69</v>
      </c>
      <c r="O110" t="s">
        <v>71</v>
      </c>
      <c r="P110">
        <v>135</v>
      </c>
    </row>
    <row r="111" spans="1:16">
      <c r="A111" t="s">
        <v>174</v>
      </c>
      <c r="B111" t="s">
        <v>140</v>
      </c>
      <c r="C111" t="s">
        <v>81</v>
      </c>
      <c r="D111">
        <v>3</v>
      </c>
      <c r="E111">
        <v>0</v>
      </c>
      <c r="F111">
        <v>0</v>
      </c>
      <c r="G111" t="s">
        <v>147</v>
      </c>
      <c r="H111" t="s">
        <v>8</v>
      </c>
      <c r="I111" t="s">
        <v>9</v>
      </c>
      <c r="J111" t="s">
        <v>18</v>
      </c>
      <c r="K111" t="s">
        <v>69</v>
      </c>
      <c r="L111" t="s">
        <v>69</v>
      </c>
      <c r="M111" t="s">
        <v>69</v>
      </c>
      <c r="N111" t="s">
        <v>69</v>
      </c>
      <c r="O111" t="s">
        <v>72</v>
      </c>
      <c r="P111">
        <v>81</v>
      </c>
    </row>
    <row r="112" spans="1:16">
      <c r="A112" t="s">
        <v>174</v>
      </c>
      <c r="B112" t="s">
        <v>140</v>
      </c>
      <c r="C112" t="s">
        <v>81</v>
      </c>
      <c r="D112">
        <v>3</v>
      </c>
      <c r="E112">
        <v>0</v>
      </c>
      <c r="F112">
        <v>0</v>
      </c>
      <c r="G112" t="s">
        <v>97</v>
      </c>
      <c r="H112" t="s">
        <v>8</v>
      </c>
      <c r="I112" t="s">
        <v>97</v>
      </c>
      <c r="J112" t="s">
        <v>98</v>
      </c>
      <c r="K112" t="s">
        <v>69</v>
      </c>
      <c r="L112" t="s">
        <v>69</v>
      </c>
      <c r="M112" t="s">
        <v>69</v>
      </c>
      <c r="N112" t="s">
        <v>69</v>
      </c>
      <c r="O112" t="s">
        <v>70</v>
      </c>
      <c r="P112">
        <v>81</v>
      </c>
    </row>
    <row r="113" spans="1:16">
      <c r="A113" t="s">
        <v>175</v>
      </c>
      <c r="B113" t="s">
        <v>140</v>
      </c>
      <c r="C113" t="s">
        <v>81</v>
      </c>
      <c r="D113">
        <v>4</v>
      </c>
      <c r="E113">
        <v>0</v>
      </c>
      <c r="F113">
        <v>0</v>
      </c>
      <c r="G113" t="s">
        <v>19</v>
      </c>
      <c r="H113" t="s">
        <v>8</v>
      </c>
      <c r="I113" t="s">
        <v>9</v>
      </c>
      <c r="J113" t="s">
        <v>18</v>
      </c>
      <c r="K113" t="s">
        <v>28</v>
      </c>
      <c r="L113" t="s">
        <v>19</v>
      </c>
      <c r="M113" t="s">
        <v>69</v>
      </c>
      <c r="N113" t="s">
        <v>69</v>
      </c>
      <c r="O113" t="s">
        <v>72</v>
      </c>
      <c r="P113">
        <v>7</v>
      </c>
    </row>
    <row r="114" spans="1:16">
      <c r="A114" t="s">
        <v>175</v>
      </c>
      <c r="B114" t="s">
        <v>140</v>
      </c>
      <c r="C114" t="s">
        <v>81</v>
      </c>
      <c r="D114">
        <v>4</v>
      </c>
      <c r="E114">
        <v>0</v>
      </c>
      <c r="F114">
        <v>0</v>
      </c>
      <c r="G114" t="s">
        <v>22</v>
      </c>
      <c r="H114" t="s">
        <v>10</v>
      </c>
      <c r="I114" t="s">
        <v>13</v>
      </c>
      <c r="J114" t="s">
        <v>57</v>
      </c>
      <c r="K114" t="s">
        <v>69</v>
      </c>
      <c r="L114" t="s">
        <v>22</v>
      </c>
      <c r="M114" t="s">
        <v>69</v>
      </c>
      <c r="N114" t="s">
        <v>69</v>
      </c>
      <c r="O114" t="s">
        <v>70</v>
      </c>
      <c r="P114">
        <v>81</v>
      </c>
    </row>
    <row r="115" spans="1:16">
      <c r="A115" t="s">
        <v>175</v>
      </c>
      <c r="B115" t="s">
        <v>140</v>
      </c>
      <c r="C115" t="s">
        <v>81</v>
      </c>
      <c r="D115">
        <v>4</v>
      </c>
      <c r="E115">
        <v>0</v>
      </c>
      <c r="F115">
        <v>0</v>
      </c>
      <c r="G115" t="s">
        <v>38</v>
      </c>
      <c r="H115" t="s">
        <v>8</v>
      </c>
      <c r="I115" t="s">
        <v>53</v>
      </c>
      <c r="J115" t="s">
        <v>38</v>
      </c>
      <c r="K115" t="s">
        <v>69</v>
      </c>
      <c r="L115" t="s">
        <v>69</v>
      </c>
      <c r="M115" t="s">
        <v>69</v>
      </c>
      <c r="N115" t="s">
        <v>69</v>
      </c>
      <c r="O115" t="s">
        <v>71</v>
      </c>
      <c r="P115">
        <v>81</v>
      </c>
    </row>
    <row r="116" spans="1:16">
      <c r="A116" t="s">
        <v>175</v>
      </c>
      <c r="B116" t="s">
        <v>140</v>
      </c>
      <c r="C116" t="s">
        <v>81</v>
      </c>
      <c r="D116">
        <v>4</v>
      </c>
      <c r="E116">
        <v>0</v>
      </c>
      <c r="F116">
        <v>0</v>
      </c>
      <c r="G116" t="s">
        <v>90</v>
      </c>
      <c r="H116" t="s">
        <v>8</v>
      </c>
      <c r="I116" t="s">
        <v>87</v>
      </c>
      <c r="J116" t="s">
        <v>90</v>
      </c>
      <c r="K116" t="s">
        <v>69</v>
      </c>
      <c r="L116" t="s">
        <v>69</v>
      </c>
      <c r="M116" t="s">
        <v>69</v>
      </c>
      <c r="N116" t="s">
        <v>69</v>
      </c>
      <c r="O116" t="s">
        <v>72</v>
      </c>
      <c r="P116">
        <v>54</v>
      </c>
    </row>
    <row r="117" spans="1:16">
      <c r="A117" t="s">
        <v>175</v>
      </c>
      <c r="B117" t="s">
        <v>140</v>
      </c>
      <c r="C117" t="s">
        <v>81</v>
      </c>
      <c r="D117">
        <v>4</v>
      </c>
      <c r="E117">
        <v>0</v>
      </c>
      <c r="F117">
        <v>0</v>
      </c>
      <c r="G117" t="s">
        <v>147</v>
      </c>
      <c r="H117" t="s">
        <v>8</v>
      </c>
      <c r="I117" t="s">
        <v>9</v>
      </c>
      <c r="J117" t="s">
        <v>18</v>
      </c>
      <c r="K117" t="s">
        <v>69</v>
      </c>
      <c r="L117" t="s">
        <v>69</v>
      </c>
      <c r="M117" t="s">
        <v>69</v>
      </c>
      <c r="N117" t="s">
        <v>69</v>
      </c>
      <c r="O117" t="s">
        <v>72</v>
      </c>
      <c r="P117">
        <v>2</v>
      </c>
    </row>
    <row r="118" spans="1:16">
      <c r="A118" t="s">
        <v>175</v>
      </c>
      <c r="B118" t="s">
        <v>140</v>
      </c>
      <c r="C118" t="s">
        <v>81</v>
      </c>
      <c r="D118">
        <v>4</v>
      </c>
      <c r="E118">
        <v>0</v>
      </c>
      <c r="F118">
        <v>0</v>
      </c>
      <c r="G118" t="s">
        <v>97</v>
      </c>
      <c r="H118" t="s">
        <v>8</v>
      </c>
      <c r="I118" t="s">
        <v>97</v>
      </c>
      <c r="J118" t="s">
        <v>98</v>
      </c>
      <c r="K118" t="s">
        <v>69</v>
      </c>
      <c r="L118" t="s">
        <v>69</v>
      </c>
      <c r="M118" t="s">
        <v>69</v>
      </c>
      <c r="N118" t="s">
        <v>69</v>
      </c>
      <c r="O118" t="s">
        <v>70</v>
      </c>
      <c r="P118">
        <v>81</v>
      </c>
    </row>
    <row r="119" spans="1:16">
      <c r="A119" t="s">
        <v>176</v>
      </c>
      <c r="B119" t="s">
        <v>140</v>
      </c>
      <c r="C119" t="s">
        <v>83</v>
      </c>
      <c r="D119">
        <v>1</v>
      </c>
      <c r="E119">
        <v>0</v>
      </c>
      <c r="F119">
        <v>0</v>
      </c>
      <c r="G119" t="s">
        <v>19</v>
      </c>
      <c r="H119" t="s">
        <v>8</v>
      </c>
      <c r="I119" t="s">
        <v>9</v>
      </c>
      <c r="J119" t="s">
        <v>18</v>
      </c>
      <c r="K119" t="s">
        <v>28</v>
      </c>
      <c r="L119" t="s">
        <v>19</v>
      </c>
      <c r="M119" t="s">
        <v>69</v>
      </c>
      <c r="N119" t="s">
        <v>69</v>
      </c>
      <c r="O119" t="s">
        <v>72</v>
      </c>
      <c r="P119">
        <v>3</v>
      </c>
    </row>
    <row r="120" spans="1:16">
      <c r="A120" t="s">
        <v>176</v>
      </c>
      <c r="B120" t="s">
        <v>140</v>
      </c>
      <c r="C120" t="s">
        <v>83</v>
      </c>
      <c r="D120">
        <v>1</v>
      </c>
      <c r="E120">
        <v>0</v>
      </c>
      <c r="F120">
        <v>0</v>
      </c>
      <c r="G120" t="s">
        <v>148</v>
      </c>
      <c r="H120" t="s">
        <v>8</v>
      </c>
      <c r="I120" t="s">
        <v>9</v>
      </c>
      <c r="J120" t="s">
        <v>26</v>
      </c>
      <c r="K120" t="s">
        <v>69</v>
      </c>
      <c r="L120" t="s">
        <v>69</v>
      </c>
      <c r="M120" t="s">
        <v>69</v>
      </c>
      <c r="N120" t="s">
        <v>69</v>
      </c>
      <c r="O120" t="s">
        <v>72</v>
      </c>
      <c r="P120">
        <v>1</v>
      </c>
    </row>
    <row r="121" spans="1:16">
      <c r="A121" t="s">
        <v>176</v>
      </c>
      <c r="B121" t="s">
        <v>140</v>
      </c>
      <c r="C121" t="s">
        <v>83</v>
      </c>
      <c r="D121">
        <v>1</v>
      </c>
      <c r="E121">
        <v>0</v>
      </c>
      <c r="F121">
        <v>0</v>
      </c>
      <c r="G121" t="s">
        <v>149</v>
      </c>
      <c r="H121" t="s">
        <v>8</v>
      </c>
      <c r="I121" t="s">
        <v>9</v>
      </c>
      <c r="J121" t="s">
        <v>26</v>
      </c>
      <c r="K121" t="s">
        <v>69</v>
      </c>
      <c r="L121" t="s">
        <v>27</v>
      </c>
      <c r="M121" t="s">
        <v>69</v>
      </c>
      <c r="N121" t="s">
        <v>69</v>
      </c>
      <c r="O121" t="s">
        <v>70</v>
      </c>
      <c r="P121">
        <v>5</v>
      </c>
    </row>
    <row r="122" spans="1:16">
      <c r="A122" t="s">
        <v>176</v>
      </c>
      <c r="B122" t="s">
        <v>140</v>
      </c>
      <c r="C122" t="s">
        <v>83</v>
      </c>
      <c r="D122">
        <v>1</v>
      </c>
      <c r="E122">
        <v>0</v>
      </c>
      <c r="F122">
        <v>0</v>
      </c>
      <c r="G122" t="s">
        <v>56</v>
      </c>
      <c r="H122" t="s">
        <v>11</v>
      </c>
      <c r="I122" t="s">
        <v>56</v>
      </c>
      <c r="J122" t="s">
        <v>69</v>
      </c>
      <c r="K122" t="s">
        <v>69</v>
      </c>
      <c r="L122" t="s">
        <v>69</v>
      </c>
      <c r="M122" t="s">
        <v>69</v>
      </c>
      <c r="N122" t="s">
        <v>69</v>
      </c>
      <c r="O122" t="s">
        <v>74</v>
      </c>
      <c r="P122">
        <v>1</v>
      </c>
    </row>
    <row r="123" spans="1:16">
      <c r="A123" t="s">
        <v>176</v>
      </c>
      <c r="B123" t="s">
        <v>140</v>
      </c>
      <c r="C123" t="s">
        <v>83</v>
      </c>
      <c r="D123">
        <v>1</v>
      </c>
      <c r="E123">
        <v>0</v>
      </c>
      <c r="F123">
        <v>0</v>
      </c>
      <c r="G123" t="s">
        <v>38</v>
      </c>
      <c r="H123" t="s">
        <v>8</v>
      </c>
      <c r="I123" t="s">
        <v>53</v>
      </c>
      <c r="J123" t="s">
        <v>38</v>
      </c>
      <c r="K123" t="s">
        <v>69</v>
      </c>
      <c r="L123" t="s">
        <v>69</v>
      </c>
      <c r="M123" t="s">
        <v>69</v>
      </c>
      <c r="N123" t="s">
        <v>69</v>
      </c>
      <c r="O123" t="s">
        <v>71</v>
      </c>
      <c r="P123">
        <v>12</v>
      </c>
    </row>
    <row r="124" spans="1:16">
      <c r="A124" t="s">
        <v>176</v>
      </c>
      <c r="B124" t="s">
        <v>140</v>
      </c>
      <c r="C124" t="s">
        <v>83</v>
      </c>
      <c r="D124">
        <v>1</v>
      </c>
      <c r="E124">
        <v>0</v>
      </c>
      <c r="F124">
        <v>0</v>
      </c>
      <c r="G124" t="s">
        <v>145</v>
      </c>
      <c r="H124" t="s">
        <v>8</v>
      </c>
      <c r="I124" t="s">
        <v>52</v>
      </c>
      <c r="J124" t="s">
        <v>39</v>
      </c>
      <c r="K124" t="s">
        <v>69</v>
      </c>
      <c r="L124" t="s">
        <v>145</v>
      </c>
      <c r="M124" t="s">
        <v>69</v>
      </c>
      <c r="N124" t="s">
        <v>69</v>
      </c>
      <c r="O124" t="s">
        <v>72</v>
      </c>
      <c r="P124">
        <v>1</v>
      </c>
    </row>
    <row r="125" spans="1:16">
      <c r="A125" t="s">
        <v>176</v>
      </c>
      <c r="B125" t="s">
        <v>140</v>
      </c>
      <c r="C125" t="s">
        <v>83</v>
      </c>
      <c r="D125">
        <v>1</v>
      </c>
      <c r="E125">
        <v>0</v>
      </c>
      <c r="F125">
        <v>0</v>
      </c>
      <c r="G125" s="7" t="s">
        <v>146</v>
      </c>
      <c r="H125" t="s">
        <v>8</v>
      </c>
      <c r="I125" t="s">
        <v>91</v>
      </c>
      <c r="J125" t="s">
        <v>92</v>
      </c>
      <c r="K125" t="s">
        <v>69</v>
      </c>
      <c r="L125" t="s">
        <v>93</v>
      </c>
      <c r="M125" t="s">
        <v>94</v>
      </c>
      <c r="N125" t="s">
        <v>95</v>
      </c>
      <c r="O125" t="s">
        <v>75</v>
      </c>
      <c r="P125">
        <v>1</v>
      </c>
    </row>
    <row r="126" spans="1:16">
      <c r="A126" t="s">
        <v>176</v>
      </c>
      <c r="B126" t="s">
        <v>140</v>
      </c>
      <c r="C126" t="s">
        <v>83</v>
      </c>
      <c r="D126">
        <v>1</v>
      </c>
      <c r="E126">
        <v>0</v>
      </c>
      <c r="F126">
        <v>0</v>
      </c>
      <c r="G126" t="s">
        <v>97</v>
      </c>
      <c r="H126" t="s">
        <v>8</v>
      </c>
      <c r="I126" t="s">
        <v>97</v>
      </c>
      <c r="J126" t="s">
        <v>98</v>
      </c>
      <c r="K126" t="s">
        <v>69</v>
      </c>
      <c r="L126" t="s">
        <v>69</v>
      </c>
      <c r="M126" t="s">
        <v>69</v>
      </c>
      <c r="N126" t="s">
        <v>69</v>
      </c>
      <c r="O126" t="s">
        <v>70</v>
      </c>
      <c r="P126">
        <v>2</v>
      </c>
    </row>
    <row r="127" spans="1:16">
      <c r="A127" t="s">
        <v>176</v>
      </c>
      <c r="B127" t="s">
        <v>140</v>
      </c>
      <c r="C127" t="s">
        <v>83</v>
      </c>
      <c r="D127">
        <v>1</v>
      </c>
      <c r="E127">
        <v>0</v>
      </c>
      <c r="F127">
        <v>0</v>
      </c>
      <c r="G127" t="s">
        <v>100</v>
      </c>
      <c r="H127" t="s">
        <v>8</v>
      </c>
      <c r="I127" t="s">
        <v>99</v>
      </c>
      <c r="J127" t="s">
        <v>100</v>
      </c>
      <c r="K127" t="s">
        <v>69</v>
      </c>
      <c r="L127" t="s">
        <v>69</v>
      </c>
      <c r="M127" t="s">
        <v>69</v>
      </c>
      <c r="N127" t="s">
        <v>69</v>
      </c>
      <c r="O127" t="s">
        <v>71</v>
      </c>
      <c r="P127">
        <v>4</v>
      </c>
    </row>
    <row r="128" spans="1:16">
      <c r="A128" t="s">
        <v>176</v>
      </c>
      <c r="B128" t="s">
        <v>140</v>
      </c>
      <c r="C128" t="s">
        <v>83</v>
      </c>
      <c r="D128">
        <v>1</v>
      </c>
      <c r="E128">
        <v>0</v>
      </c>
      <c r="F128">
        <v>0</v>
      </c>
      <c r="G128" t="s">
        <v>130</v>
      </c>
      <c r="H128" t="s">
        <v>8</v>
      </c>
      <c r="I128" t="s">
        <v>9</v>
      </c>
      <c r="J128" t="s">
        <v>18</v>
      </c>
      <c r="K128" t="s">
        <v>28</v>
      </c>
      <c r="L128" t="s">
        <v>130</v>
      </c>
      <c r="M128" t="s">
        <v>69</v>
      </c>
      <c r="N128" t="s">
        <v>69</v>
      </c>
      <c r="O128" t="s">
        <v>72</v>
      </c>
      <c r="P128">
        <v>1</v>
      </c>
    </row>
    <row r="129" spans="1:16">
      <c r="A129" t="s">
        <v>176</v>
      </c>
      <c r="B129" t="s">
        <v>140</v>
      </c>
      <c r="C129" t="s">
        <v>83</v>
      </c>
      <c r="D129">
        <v>1</v>
      </c>
      <c r="E129">
        <v>0</v>
      </c>
      <c r="F129">
        <v>0</v>
      </c>
      <c r="G129" s="7" t="s">
        <v>154</v>
      </c>
      <c r="H129" t="s">
        <v>8</v>
      </c>
      <c r="I129" t="s">
        <v>9</v>
      </c>
      <c r="J129" t="s">
        <v>14</v>
      </c>
      <c r="K129" t="s">
        <v>23</v>
      </c>
      <c r="L129" t="s">
        <v>132</v>
      </c>
      <c r="M129" t="s">
        <v>133</v>
      </c>
      <c r="N129" t="s">
        <v>134</v>
      </c>
      <c r="O129" t="s">
        <v>72</v>
      </c>
      <c r="P129">
        <v>1</v>
      </c>
    </row>
    <row r="130" spans="1:16">
      <c r="A130" t="s">
        <v>177</v>
      </c>
      <c r="B130" t="s">
        <v>140</v>
      </c>
      <c r="C130" t="s">
        <v>83</v>
      </c>
      <c r="D130">
        <v>2</v>
      </c>
      <c r="E130">
        <v>0</v>
      </c>
      <c r="F130">
        <v>0</v>
      </c>
      <c r="G130" t="s">
        <v>17</v>
      </c>
      <c r="H130" t="s">
        <v>8</v>
      </c>
      <c r="I130" t="s">
        <v>9</v>
      </c>
      <c r="J130" t="s">
        <v>14</v>
      </c>
      <c r="K130" t="s">
        <v>23</v>
      </c>
      <c r="L130" t="s">
        <v>17</v>
      </c>
      <c r="M130" t="s">
        <v>69</v>
      </c>
      <c r="N130" t="s">
        <v>69</v>
      </c>
      <c r="O130" t="s">
        <v>74</v>
      </c>
      <c r="P130">
        <v>1</v>
      </c>
    </row>
    <row r="131" spans="1:16">
      <c r="A131" t="s">
        <v>177</v>
      </c>
      <c r="B131" t="s">
        <v>140</v>
      </c>
      <c r="C131" t="s">
        <v>83</v>
      </c>
      <c r="D131">
        <v>2</v>
      </c>
      <c r="E131">
        <v>0</v>
      </c>
      <c r="F131">
        <v>0</v>
      </c>
      <c r="G131" t="s">
        <v>22</v>
      </c>
      <c r="H131" t="s">
        <v>10</v>
      </c>
      <c r="I131" t="s">
        <v>13</v>
      </c>
      <c r="J131" t="s">
        <v>57</v>
      </c>
      <c r="K131" t="s">
        <v>69</v>
      </c>
      <c r="L131" t="s">
        <v>22</v>
      </c>
      <c r="M131" t="s">
        <v>69</v>
      </c>
      <c r="N131" t="s">
        <v>69</v>
      </c>
      <c r="O131" t="s">
        <v>70</v>
      </c>
      <c r="P131">
        <v>54</v>
      </c>
    </row>
    <row r="132" spans="1:16">
      <c r="A132" t="s">
        <v>177</v>
      </c>
      <c r="B132" t="s">
        <v>140</v>
      </c>
      <c r="C132" t="s">
        <v>83</v>
      </c>
      <c r="D132">
        <v>2</v>
      </c>
      <c r="E132">
        <v>0</v>
      </c>
      <c r="F132">
        <v>0</v>
      </c>
      <c r="G132" t="s">
        <v>148</v>
      </c>
      <c r="H132" t="s">
        <v>8</v>
      </c>
      <c r="I132" t="s">
        <v>9</v>
      </c>
      <c r="J132" t="s">
        <v>26</v>
      </c>
      <c r="K132" t="s">
        <v>69</v>
      </c>
      <c r="L132" t="s">
        <v>69</v>
      </c>
      <c r="M132" t="s">
        <v>69</v>
      </c>
      <c r="N132" t="s">
        <v>69</v>
      </c>
      <c r="O132" t="s">
        <v>72</v>
      </c>
      <c r="P132">
        <v>82</v>
      </c>
    </row>
    <row r="133" spans="1:16">
      <c r="A133" t="s">
        <v>177</v>
      </c>
      <c r="B133" t="s">
        <v>140</v>
      </c>
      <c r="C133" t="s">
        <v>83</v>
      </c>
      <c r="D133">
        <v>2</v>
      </c>
      <c r="E133">
        <v>0</v>
      </c>
      <c r="F133">
        <v>0</v>
      </c>
      <c r="G133" t="s">
        <v>149</v>
      </c>
      <c r="H133" t="s">
        <v>8</v>
      </c>
      <c r="I133" t="s">
        <v>9</v>
      </c>
      <c r="J133" t="s">
        <v>26</v>
      </c>
      <c r="K133" t="s">
        <v>69</v>
      </c>
      <c r="L133" t="s">
        <v>27</v>
      </c>
      <c r="M133" t="s">
        <v>69</v>
      </c>
      <c r="N133" t="s">
        <v>69</v>
      </c>
      <c r="O133" t="s">
        <v>70</v>
      </c>
      <c r="P133">
        <v>135</v>
      </c>
    </row>
    <row r="134" spans="1:16">
      <c r="A134" t="s">
        <v>177</v>
      </c>
      <c r="B134" t="s">
        <v>140</v>
      </c>
      <c r="C134" t="s">
        <v>83</v>
      </c>
      <c r="D134">
        <v>2</v>
      </c>
      <c r="E134">
        <v>0</v>
      </c>
      <c r="F134">
        <v>0</v>
      </c>
      <c r="G134" t="s">
        <v>49</v>
      </c>
      <c r="H134" t="s">
        <v>8</v>
      </c>
      <c r="I134" t="s">
        <v>48</v>
      </c>
      <c r="J134" t="s">
        <v>49</v>
      </c>
      <c r="K134" t="s">
        <v>69</v>
      </c>
      <c r="L134" t="s">
        <v>50</v>
      </c>
      <c r="M134" t="s">
        <v>51</v>
      </c>
      <c r="N134" t="s">
        <v>69</v>
      </c>
      <c r="O134" t="s">
        <v>71</v>
      </c>
      <c r="P134">
        <v>54</v>
      </c>
    </row>
    <row r="135" spans="1:16">
      <c r="A135" t="s">
        <v>177</v>
      </c>
      <c r="B135" t="s">
        <v>140</v>
      </c>
      <c r="C135" t="s">
        <v>83</v>
      </c>
      <c r="D135">
        <v>2</v>
      </c>
      <c r="E135">
        <v>0</v>
      </c>
      <c r="F135">
        <v>0</v>
      </c>
      <c r="G135" t="s">
        <v>145</v>
      </c>
      <c r="H135" t="s">
        <v>8</v>
      </c>
      <c r="I135" t="s">
        <v>52</v>
      </c>
      <c r="J135" t="s">
        <v>39</v>
      </c>
      <c r="K135" t="s">
        <v>69</v>
      </c>
      <c r="L135" t="s">
        <v>145</v>
      </c>
      <c r="M135" t="s">
        <v>69</v>
      </c>
      <c r="N135" t="s">
        <v>69</v>
      </c>
      <c r="O135" t="s">
        <v>72</v>
      </c>
      <c r="P135">
        <v>1</v>
      </c>
    </row>
    <row r="136" spans="1:16">
      <c r="A136" t="s">
        <v>177</v>
      </c>
      <c r="B136" t="s">
        <v>140</v>
      </c>
      <c r="C136" t="s">
        <v>83</v>
      </c>
      <c r="D136">
        <v>2</v>
      </c>
      <c r="E136">
        <v>0</v>
      </c>
      <c r="F136">
        <v>0</v>
      </c>
      <c r="G136" t="s">
        <v>100</v>
      </c>
      <c r="H136" t="s">
        <v>8</v>
      </c>
      <c r="I136" t="s">
        <v>99</v>
      </c>
      <c r="J136" t="s">
        <v>100</v>
      </c>
      <c r="K136" t="s">
        <v>69</v>
      </c>
      <c r="L136" t="s">
        <v>69</v>
      </c>
      <c r="M136" t="s">
        <v>69</v>
      </c>
      <c r="N136" t="s">
        <v>69</v>
      </c>
      <c r="O136" t="s">
        <v>71</v>
      </c>
      <c r="P136">
        <v>6</v>
      </c>
    </row>
    <row r="137" spans="1:16">
      <c r="A137" t="s">
        <v>177</v>
      </c>
      <c r="B137" t="s">
        <v>140</v>
      </c>
      <c r="C137" t="s">
        <v>83</v>
      </c>
      <c r="D137">
        <v>2</v>
      </c>
      <c r="E137">
        <v>0</v>
      </c>
      <c r="F137">
        <v>0</v>
      </c>
      <c r="G137" t="s">
        <v>137</v>
      </c>
      <c r="H137" t="s">
        <v>8</v>
      </c>
      <c r="I137" t="s">
        <v>9</v>
      </c>
      <c r="J137" t="s">
        <v>136</v>
      </c>
      <c r="K137" t="s">
        <v>69</v>
      </c>
      <c r="L137" t="s">
        <v>137</v>
      </c>
      <c r="M137" t="s">
        <v>69</v>
      </c>
      <c r="N137" t="s">
        <v>69</v>
      </c>
      <c r="O137" t="s">
        <v>70</v>
      </c>
      <c r="P137">
        <v>1</v>
      </c>
    </row>
    <row r="138" spans="1:16">
      <c r="A138" t="s">
        <v>178</v>
      </c>
      <c r="B138" t="s">
        <v>140</v>
      </c>
      <c r="C138" t="s">
        <v>83</v>
      </c>
      <c r="D138">
        <v>3</v>
      </c>
      <c r="E138">
        <v>0</v>
      </c>
      <c r="F138">
        <v>0</v>
      </c>
      <c r="G138" t="s">
        <v>17</v>
      </c>
      <c r="H138" t="s">
        <v>8</v>
      </c>
      <c r="I138" t="s">
        <v>9</v>
      </c>
      <c r="J138" t="s">
        <v>14</v>
      </c>
      <c r="K138" t="s">
        <v>23</v>
      </c>
      <c r="L138" t="s">
        <v>17</v>
      </c>
      <c r="M138" t="s">
        <v>69</v>
      </c>
      <c r="N138" t="s">
        <v>69</v>
      </c>
      <c r="O138" t="s">
        <v>74</v>
      </c>
      <c r="P138">
        <v>2</v>
      </c>
    </row>
    <row r="139" spans="1:16">
      <c r="A139" t="s">
        <v>178</v>
      </c>
      <c r="B139" t="s">
        <v>140</v>
      </c>
      <c r="C139" t="s">
        <v>83</v>
      </c>
      <c r="D139">
        <v>3</v>
      </c>
      <c r="E139">
        <v>0</v>
      </c>
      <c r="F139">
        <v>0</v>
      </c>
      <c r="G139" t="s">
        <v>148</v>
      </c>
      <c r="H139" t="s">
        <v>8</v>
      </c>
      <c r="I139" t="s">
        <v>9</v>
      </c>
      <c r="J139" t="s">
        <v>26</v>
      </c>
      <c r="K139" t="s">
        <v>69</v>
      </c>
      <c r="L139" t="s">
        <v>69</v>
      </c>
      <c r="M139" t="s">
        <v>69</v>
      </c>
      <c r="N139" t="s">
        <v>69</v>
      </c>
      <c r="O139" t="s">
        <v>72</v>
      </c>
      <c r="P139">
        <v>7</v>
      </c>
    </row>
    <row r="140" spans="1:16">
      <c r="A140" t="s">
        <v>178</v>
      </c>
      <c r="B140" t="s">
        <v>140</v>
      </c>
      <c r="C140" t="s">
        <v>83</v>
      </c>
      <c r="D140">
        <v>3</v>
      </c>
      <c r="E140">
        <v>0</v>
      </c>
      <c r="F140">
        <v>0</v>
      </c>
      <c r="G140" t="s">
        <v>149</v>
      </c>
      <c r="H140" t="s">
        <v>8</v>
      </c>
      <c r="I140" t="s">
        <v>9</v>
      </c>
      <c r="J140" t="s">
        <v>26</v>
      </c>
      <c r="K140" t="s">
        <v>69</v>
      </c>
      <c r="L140" t="s">
        <v>27</v>
      </c>
      <c r="M140" t="s">
        <v>69</v>
      </c>
      <c r="N140" t="s">
        <v>69</v>
      </c>
      <c r="O140" t="s">
        <v>70</v>
      </c>
      <c r="P140">
        <v>19</v>
      </c>
    </row>
    <row r="141" spans="1:16">
      <c r="A141" t="s">
        <v>178</v>
      </c>
      <c r="B141" t="s">
        <v>140</v>
      </c>
      <c r="C141" t="s">
        <v>83</v>
      </c>
      <c r="D141">
        <v>3</v>
      </c>
      <c r="E141">
        <v>0</v>
      </c>
      <c r="F141">
        <v>0</v>
      </c>
      <c r="G141" t="s">
        <v>49</v>
      </c>
      <c r="H141" t="s">
        <v>8</v>
      </c>
      <c r="I141" t="s">
        <v>48</v>
      </c>
      <c r="J141" t="s">
        <v>49</v>
      </c>
      <c r="K141" t="s">
        <v>69</v>
      </c>
      <c r="L141" t="s">
        <v>50</v>
      </c>
      <c r="M141" t="s">
        <v>51</v>
      </c>
      <c r="N141" t="s">
        <v>69</v>
      </c>
      <c r="O141" t="s">
        <v>71</v>
      </c>
      <c r="P141">
        <v>162</v>
      </c>
    </row>
    <row r="142" spans="1:16">
      <c r="A142" t="s">
        <v>178</v>
      </c>
      <c r="B142" t="s">
        <v>140</v>
      </c>
      <c r="C142" t="s">
        <v>83</v>
      </c>
      <c r="D142">
        <v>3</v>
      </c>
      <c r="E142">
        <v>0</v>
      </c>
      <c r="F142">
        <v>0</v>
      </c>
      <c r="G142" t="s">
        <v>90</v>
      </c>
      <c r="H142" t="s">
        <v>8</v>
      </c>
      <c r="I142" t="s">
        <v>87</v>
      </c>
      <c r="J142" t="s">
        <v>90</v>
      </c>
      <c r="K142" t="s">
        <v>69</v>
      </c>
      <c r="L142" t="s">
        <v>69</v>
      </c>
      <c r="M142" t="s">
        <v>69</v>
      </c>
      <c r="N142" t="s">
        <v>69</v>
      </c>
      <c r="O142" t="s">
        <v>72</v>
      </c>
      <c r="P142">
        <v>54</v>
      </c>
    </row>
    <row r="143" spans="1:16">
      <c r="A143" t="s">
        <v>178</v>
      </c>
      <c r="B143" t="s">
        <v>140</v>
      </c>
      <c r="C143" t="s">
        <v>83</v>
      </c>
      <c r="D143">
        <v>3</v>
      </c>
      <c r="E143">
        <v>0</v>
      </c>
      <c r="F143">
        <v>0</v>
      </c>
      <c r="G143" t="s">
        <v>145</v>
      </c>
      <c r="H143" t="s">
        <v>8</v>
      </c>
      <c r="I143" t="s">
        <v>52</v>
      </c>
      <c r="J143" t="s">
        <v>39</v>
      </c>
      <c r="K143" t="s">
        <v>69</v>
      </c>
      <c r="L143" t="s">
        <v>145</v>
      </c>
      <c r="M143" t="s">
        <v>69</v>
      </c>
      <c r="N143" t="s">
        <v>69</v>
      </c>
      <c r="O143" t="s">
        <v>72</v>
      </c>
      <c r="P143">
        <v>54</v>
      </c>
    </row>
    <row r="144" spans="1:16">
      <c r="A144" t="s">
        <v>178</v>
      </c>
      <c r="B144" t="s">
        <v>140</v>
      </c>
      <c r="C144" t="s">
        <v>83</v>
      </c>
      <c r="D144">
        <v>3</v>
      </c>
      <c r="E144">
        <v>0</v>
      </c>
      <c r="F144">
        <v>0</v>
      </c>
      <c r="G144" s="7" t="s">
        <v>146</v>
      </c>
      <c r="H144" t="s">
        <v>8</v>
      </c>
      <c r="I144" t="s">
        <v>91</v>
      </c>
      <c r="J144" t="s">
        <v>92</v>
      </c>
      <c r="K144" t="s">
        <v>69</v>
      </c>
      <c r="L144" t="s">
        <v>93</v>
      </c>
      <c r="M144" t="s">
        <v>94</v>
      </c>
      <c r="N144" t="s">
        <v>95</v>
      </c>
      <c r="O144" t="s">
        <v>75</v>
      </c>
      <c r="P144">
        <v>1</v>
      </c>
    </row>
    <row r="145" spans="1:16">
      <c r="A145" t="s">
        <v>178</v>
      </c>
      <c r="B145" t="s">
        <v>140</v>
      </c>
      <c r="C145" t="s">
        <v>83</v>
      </c>
      <c r="D145">
        <v>3</v>
      </c>
      <c r="E145">
        <v>0</v>
      </c>
      <c r="F145">
        <v>0</v>
      </c>
      <c r="G145" t="s">
        <v>100</v>
      </c>
      <c r="H145" t="s">
        <v>8</v>
      </c>
      <c r="I145" t="s">
        <v>99</v>
      </c>
      <c r="J145" t="s">
        <v>100</v>
      </c>
      <c r="K145" t="s">
        <v>69</v>
      </c>
      <c r="L145" t="s">
        <v>69</v>
      </c>
      <c r="M145" t="s">
        <v>69</v>
      </c>
      <c r="N145" t="s">
        <v>69</v>
      </c>
      <c r="O145" t="s">
        <v>71</v>
      </c>
      <c r="P145">
        <v>12</v>
      </c>
    </row>
    <row r="146" spans="1:16">
      <c r="A146" t="s">
        <v>178</v>
      </c>
      <c r="B146" t="s">
        <v>140</v>
      </c>
      <c r="C146" t="s">
        <v>83</v>
      </c>
      <c r="D146">
        <v>3</v>
      </c>
      <c r="E146">
        <v>0</v>
      </c>
      <c r="F146">
        <v>0</v>
      </c>
      <c r="G146" t="s">
        <v>137</v>
      </c>
      <c r="H146" t="s">
        <v>8</v>
      </c>
      <c r="I146" t="s">
        <v>9</v>
      </c>
      <c r="J146" t="s">
        <v>136</v>
      </c>
      <c r="K146" t="s">
        <v>69</v>
      </c>
      <c r="L146" t="s">
        <v>137</v>
      </c>
      <c r="M146" t="s">
        <v>69</v>
      </c>
      <c r="N146" t="s">
        <v>69</v>
      </c>
      <c r="O146" t="s">
        <v>70</v>
      </c>
      <c r="P146">
        <v>1</v>
      </c>
    </row>
    <row r="147" spans="1:16">
      <c r="A147" t="s">
        <v>179</v>
      </c>
      <c r="B147" t="s">
        <v>140</v>
      </c>
      <c r="C147" t="s">
        <v>83</v>
      </c>
      <c r="D147">
        <v>4</v>
      </c>
      <c r="E147">
        <v>0</v>
      </c>
      <c r="F147">
        <v>0</v>
      </c>
      <c r="G147" t="s">
        <v>22</v>
      </c>
      <c r="H147" t="s">
        <v>10</v>
      </c>
      <c r="I147" t="s">
        <v>13</v>
      </c>
      <c r="J147" t="s">
        <v>57</v>
      </c>
      <c r="K147" t="s">
        <v>69</v>
      </c>
      <c r="L147" t="s">
        <v>22</v>
      </c>
      <c r="M147" t="s">
        <v>69</v>
      </c>
      <c r="N147" t="s">
        <v>69</v>
      </c>
      <c r="O147" t="s">
        <v>70</v>
      </c>
      <c r="P147">
        <v>135</v>
      </c>
    </row>
    <row r="148" spans="1:16">
      <c r="A148" t="s">
        <v>179</v>
      </c>
      <c r="B148" t="s">
        <v>140</v>
      </c>
      <c r="C148" t="s">
        <v>83</v>
      </c>
      <c r="D148">
        <v>4</v>
      </c>
      <c r="E148">
        <v>0</v>
      </c>
      <c r="F148">
        <v>0</v>
      </c>
      <c r="G148" t="s">
        <v>148</v>
      </c>
      <c r="H148" t="s">
        <v>8</v>
      </c>
      <c r="I148" t="s">
        <v>9</v>
      </c>
      <c r="J148" t="s">
        <v>26</v>
      </c>
      <c r="K148" t="s">
        <v>69</v>
      </c>
      <c r="L148" t="s">
        <v>69</v>
      </c>
      <c r="M148" t="s">
        <v>69</v>
      </c>
      <c r="N148" t="s">
        <v>69</v>
      </c>
      <c r="O148" t="s">
        <v>72</v>
      </c>
      <c r="P148">
        <v>54</v>
      </c>
    </row>
    <row r="149" spans="1:16">
      <c r="A149" t="s">
        <v>179</v>
      </c>
      <c r="B149" t="s">
        <v>140</v>
      </c>
      <c r="C149" t="s">
        <v>83</v>
      </c>
      <c r="D149">
        <v>4</v>
      </c>
      <c r="E149">
        <v>0</v>
      </c>
      <c r="F149">
        <v>0</v>
      </c>
      <c r="G149" t="s">
        <v>149</v>
      </c>
      <c r="H149" t="s">
        <v>8</v>
      </c>
      <c r="I149" t="s">
        <v>9</v>
      </c>
      <c r="J149" t="s">
        <v>26</v>
      </c>
      <c r="K149" t="s">
        <v>69</v>
      </c>
      <c r="L149" t="s">
        <v>27</v>
      </c>
      <c r="M149" t="s">
        <v>69</v>
      </c>
      <c r="N149" t="s">
        <v>69</v>
      </c>
      <c r="O149" t="s">
        <v>70</v>
      </c>
      <c r="P149">
        <v>135</v>
      </c>
    </row>
    <row r="150" spans="1:16">
      <c r="A150" t="s">
        <v>179</v>
      </c>
      <c r="B150" t="s">
        <v>140</v>
      </c>
      <c r="C150" t="s">
        <v>83</v>
      </c>
      <c r="D150">
        <v>4</v>
      </c>
      <c r="E150">
        <v>0</v>
      </c>
      <c r="F150">
        <v>0</v>
      </c>
      <c r="G150" t="s">
        <v>56</v>
      </c>
      <c r="H150" t="s">
        <v>11</v>
      </c>
      <c r="I150" t="s">
        <v>56</v>
      </c>
      <c r="J150" t="s">
        <v>69</v>
      </c>
      <c r="K150" t="s">
        <v>69</v>
      </c>
      <c r="L150" t="s">
        <v>69</v>
      </c>
      <c r="M150" t="s">
        <v>69</v>
      </c>
      <c r="N150" t="s">
        <v>69</v>
      </c>
      <c r="O150" t="s">
        <v>74</v>
      </c>
      <c r="P150">
        <v>1</v>
      </c>
    </row>
    <row r="151" spans="1:16">
      <c r="A151" t="s">
        <v>179</v>
      </c>
      <c r="B151" t="s">
        <v>140</v>
      </c>
      <c r="C151" t="s">
        <v>83</v>
      </c>
      <c r="D151">
        <v>4</v>
      </c>
      <c r="E151">
        <v>0</v>
      </c>
      <c r="F151">
        <v>0</v>
      </c>
      <c r="G151" t="s">
        <v>38</v>
      </c>
      <c r="H151" t="s">
        <v>8</v>
      </c>
      <c r="I151" t="s">
        <v>53</v>
      </c>
      <c r="J151" t="s">
        <v>38</v>
      </c>
      <c r="K151" t="s">
        <v>69</v>
      </c>
      <c r="L151" t="s">
        <v>69</v>
      </c>
      <c r="M151" t="s">
        <v>69</v>
      </c>
      <c r="N151" t="s">
        <v>69</v>
      </c>
      <c r="O151" t="s">
        <v>71</v>
      </c>
      <c r="P151">
        <v>27</v>
      </c>
    </row>
    <row r="152" spans="1:16">
      <c r="A152" t="s">
        <v>179</v>
      </c>
      <c r="B152" t="s">
        <v>140</v>
      </c>
      <c r="C152" t="s">
        <v>83</v>
      </c>
      <c r="D152">
        <v>4</v>
      </c>
      <c r="E152">
        <v>0</v>
      </c>
      <c r="F152">
        <v>0</v>
      </c>
      <c r="G152" t="s">
        <v>49</v>
      </c>
      <c r="H152" t="s">
        <v>8</v>
      </c>
      <c r="I152" t="s">
        <v>48</v>
      </c>
      <c r="J152" t="s">
        <v>49</v>
      </c>
      <c r="K152" t="s">
        <v>69</v>
      </c>
      <c r="L152" t="s">
        <v>50</v>
      </c>
      <c r="M152" t="s">
        <v>51</v>
      </c>
      <c r="N152" t="s">
        <v>69</v>
      </c>
      <c r="O152" t="s">
        <v>71</v>
      </c>
      <c r="P152">
        <v>81</v>
      </c>
    </row>
    <row r="153" spans="1:16">
      <c r="A153" t="s">
        <v>179</v>
      </c>
      <c r="B153" t="s">
        <v>140</v>
      </c>
      <c r="C153" t="s">
        <v>83</v>
      </c>
      <c r="D153">
        <v>4</v>
      </c>
      <c r="E153">
        <v>0</v>
      </c>
      <c r="F153">
        <v>0</v>
      </c>
      <c r="G153" t="s">
        <v>90</v>
      </c>
      <c r="H153" t="s">
        <v>8</v>
      </c>
      <c r="I153" t="s">
        <v>87</v>
      </c>
      <c r="J153" t="s">
        <v>90</v>
      </c>
      <c r="K153" t="s">
        <v>69</v>
      </c>
      <c r="L153" t="s">
        <v>69</v>
      </c>
      <c r="M153" t="s">
        <v>69</v>
      </c>
      <c r="N153" t="s">
        <v>69</v>
      </c>
      <c r="O153" t="s">
        <v>72</v>
      </c>
      <c r="P153">
        <v>27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DF427-A794-46D4-BCB0-2D8498E362FF}">
  <sheetPr codeName="Sheet4">
    <tabColor theme="1" tint="0.499984740745262"/>
  </sheetPr>
  <dimension ref="A1:J34"/>
  <sheetViews>
    <sheetView zoomScale="109" zoomScaleNormal="15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9" sqref="C29"/>
    </sheetView>
  </sheetViews>
  <sheetFormatPr defaultRowHeight="15.75" customHeight="1"/>
  <cols>
    <col min="1" max="1" width="24.33203125" bestFit="1" customWidth="1"/>
    <col min="2" max="2" width="24.33203125" customWidth="1"/>
    <col min="3" max="3" width="11" bestFit="1" customWidth="1"/>
    <col min="4" max="4" width="14.109375" bestFit="1" customWidth="1"/>
    <col min="5" max="5" width="17.109375" bestFit="1" customWidth="1"/>
    <col min="6" max="6" width="14.21875" bestFit="1" customWidth="1"/>
    <col min="7" max="7" width="13.88671875" bestFit="1" customWidth="1"/>
    <col min="8" max="8" width="11.88671875" bestFit="1" customWidth="1"/>
    <col min="9" max="9" width="11.6640625" bestFit="1" customWidth="1"/>
    <col min="10" max="10" width="7.109375" bestFit="1" customWidth="1"/>
    <col min="11" max="11" width="6.88671875" customWidth="1"/>
    <col min="12" max="12" width="24" bestFit="1" customWidth="1"/>
    <col min="13" max="13" width="4.33203125" bestFit="1" customWidth="1"/>
  </cols>
  <sheetData>
    <row r="1" spans="1:10" ht="15.75" customHeight="1">
      <c r="A1" t="s">
        <v>143</v>
      </c>
      <c r="B1" t="s">
        <v>29</v>
      </c>
      <c r="C1" t="s">
        <v>3</v>
      </c>
      <c r="D1" t="s">
        <v>4</v>
      </c>
      <c r="E1" t="s">
        <v>5</v>
      </c>
      <c r="F1" t="s">
        <v>24</v>
      </c>
      <c r="G1" t="s">
        <v>6</v>
      </c>
      <c r="H1" t="s">
        <v>7</v>
      </c>
      <c r="I1" t="s">
        <v>25</v>
      </c>
      <c r="J1" t="s">
        <v>12</v>
      </c>
    </row>
    <row r="2" spans="1:10" ht="15.75" customHeight="1">
      <c r="A2" s="5" t="s">
        <v>66</v>
      </c>
      <c r="B2" t="s">
        <v>15</v>
      </c>
      <c r="C2" t="s">
        <v>8</v>
      </c>
      <c r="D2" t="s">
        <v>9</v>
      </c>
      <c r="E2" t="s">
        <v>14</v>
      </c>
      <c r="F2" t="s">
        <v>23</v>
      </c>
      <c r="G2" t="s">
        <v>15</v>
      </c>
      <c r="H2" t="s">
        <v>69</v>
      </c>
      <c r="I2" t="s">
        <v>69</v>
      </c>
      <c r="J2" t="s">
        <v>72</v>
      </c>
    </row>
    <row r="3" spans="1:10" ht="15.75" customHeight="1">
      <c r="A3" s="5" t="s">
        <v>58</v>
      </c>
      <c r="B3" t="s">
        <v>16</v>
      </c>
      <c r="C3" t="s">
        <v>8</v>
      </c>
      <c r="D3" t="s">
        <v>9</v>
      </c>
      <c r="E3" t="s">
        <v>14</v>
      </c>
      <c r="F3" t="s">
        <v>23</v>
      </c>
      <c r="G3" t="s">
        <v>16</v>
      </c>
      <c r="H3" t="s">
        <v>69</v>
      </c>
      <c r="I3" t="s">
        <v>69</v>
      </c>
      <c r="J3" t="s">
        <v>72</v>
      </c>
    </row>
    <row r="4" spans="1:10" ht="15.75" customHeight="1">
      <c r="A4" s="5" t="s">
        <v>67</v>
      </c>
      <c r="B4" t="s">
        <v>17</v>
      </c>
      <c r="C4" t="s">
        <v>8</v>
      </c>
      <c r="D4" t="s">
        <v>9</v>
      </c>
      <c r="E4" t="s">
        <v>14</v>
      </c>
      <c r="F4" t="s">
        <v>23</v>
      </c>
      <c r="G4" t="s">
        <v>17</v>
      </c>
      <c r="H4" t="s">
        <v>69</v>
      </c>
      <c r="I4" t="s">
        <v>69</v>
      </c>
      <c r="J4" t="s">
        <v>74</v>
      </c>
    </row>
    <row r="5" spans="1:10" ht="15.75" customHeight="1">
      <c r="A5" s="5" t="s">
        <v>41</v>
      </c>
      <c r="B5" t="s">
        <v>19</v>
      </c>
      <c r="C5" t="s">
        <v>8</v>
      </c>
      <c r="D5" t="s">
        <v>9</v>
      </c>
      <c r="E5" t="s">
        <v>18</v>
      </c>
      <c r="F5" t="s">
        <v>28</v>
      </c>
      <c r="G5" t="s">
        <v>19</v>
      </c>
      <c r="H5" t="s">
        <v>69</v>
      </c>
      <c r="I5" t="s">
        <v>69</v>
      </c>
      <c r="J5" t="s">
        <v>72</v>
      </c>
    </row>
    <row r="6" spans="1:10" ht="15.75" customHeight="1">
      <c r="A6" s="5" t="s">
        <v>42</v>
      </c>
      <c r="B6" t="s">
        <v>0</v>
      </c>
      <c r="C6" t="s">
        <v>8</v>
      </c>
      <c r="D6" t="s">
        <v>20</v>
      </c>
      <c r="E6" t="s">
        <v>21</v>
      </c>
      <c r="F6" t="s">
        <v>40</v>
      </c>
      <c r="G6" t="s">
        <v>0</v>
      </c>
      <c r="H6" t="s">
        <v>69</v>
      </c>
      <c r="I6" t="s">
        <v>69</v>
      </c>
      <c r="J6" t="s">
        <v>73</v>
      </c>
    </row>
    <row r="7" spans="1:10" ht="15.75" customHeight="1">
      <c r="A7" s="5" t="s">
        <v>89</v>
      </c>
      <c r="B7" t="s">
        <v>22</v>
      </c>
      <c r="C7" t="s">
        <v>10</v>
      </c>
      <c r="D7" t="s">
        <v>13</v>
      </c>
      <c r="E7" t="s">
        <v>57</v>
      </c>
      <c r="F7" t="s">
        <v>69</v>
      </c>
      <c r="G7" t="s">
        <v>22</v>
      </c>
      <c r="H7" t="s">
        <v>69</v>
      </c>
      <c r="I7" t="s">
        <v>69</v>
      </c>
      <c r="J7" t="s">
        <v>70</v>
      </c>
    </row>
    <row r="8" spans="1:10" ht="15.75" customHeight="1">
      <c r="A8" s="5" t="s">
        <v>59</v>
      </c>
      <c r="B8" t="s">
        <v>148</v>
      </c>
      <c r="C8" t="s">
        <v>8</v>
      </c>
      <c r="D8" t="s">
        <v>9</v>
      </c>
      <c r="E8" t="s">
        <v>26</v>
      </c>
      <c r="F8" t="s">
        <v>69</v>
      </c>
      <c r="G8" t="s">
        <v>69</v>
      </c>
      <c r="H8" t="s">
        <v>69</v>
      </c>
      <c r="I8" t="s">
        <v>69</v>
      </c>
      <c r="J8" t="s">
        <v>72</v>
      </c>
    </row>
    <row r="9" spans="1:10" ht="15.75" customHeight="1">
      <c r="A9" s="5" t="s">
        <v>60</v>
      </c>
      <c r="B9" t="s">
        <v>149</v>
      </c>
      <c r="C9" t="s">
        <v>8</v>
      </c>
      <c r="D9" t="s">
        <v>9</v>
      </c>
      <c r="E9" t="s">
        <v>26</v>
      </c>
      <c r="F9" t="s">
        <v>69</v>
      </c>
      <c r="G9" t="s">
        <v>27</v>
      </c>
      <c r="H9" t="s">
        <v>69</v>
      </c>
      <c r="I9" t="s">
        <v>69</v>
      </c>
      <c r="J9" t="s">
        <v>70</v>
      </c>
    </row>
    <row r="10" spans="1:10" ht="15.75" customHeight="1">
      <c r="A10" s="5" t="s">
        <v>61</v>
      </c>
      <c r="B10" t="s">
        <v>56</v>
      </c>
      <c r="C10" t="s">
        <v>11</v>
      </c>
      <c r="D10" t="s">
        <v>56</v>
      </c>
      <c r="E10" t="s">
        <v>69</v>
      </c>
      <c r="F10" t="s">
        <v>69</v>
      </c>
      <c r="G10" t="s">
        <v>69</v>
      </c>
      <c r="H10" t="s">
        <v>69</v>
      </c>
      <c r="I10" t="s">
        <v>69</v>
      </c>
      <c r="J10" t="s">
        <v>74</v>
      </c>
    </row>
    <row r="11" spans="1:10" ht="15.75" customHeight="1">
      <c r="A11" s="5" t="s">
        <v>43</v>
      </c>
      <c r="B11" s="7" t="s">
        <v>144</v>
      </c>
      <c r="C11" t="s">
        <v>11</v>
      </c>
      <c r="D11" t="s">
        <v>35</v>
      </c>
      <c r="E11" t="s">
        <v>54</v>
      </c>
      <c r="F11" t="s">
        <v>69</v>
      </c>
      <c r="G11" t="s">
        <v>55</v>
      </c>
      <c r="H11" t="s">
        <v>30</v>
      </c>
      <c r="I11" t="s">
        <v>33</v>
      </c>
      <c r="J11" t="s">
        <v>71</v>
      </c>
    </row>
    <row r="12" spans="1:10" ht="15.75" customHeight="1">
      <c r="A12" s="5" t="s">
        <v>44</v>
      </c>
      <c r="B12" t="s">
        <v>34</v>
      </c>
      <c r="C12" t="s">
        <v>11</v>
      </c>
      <c r="D12" t="s">
        <v>35</v>
      </c>
      <c r="E12" t="s">
        <v>36</v>
      </c>
      <c r="F12" t="s">
        <v>69</v>
      </c>
      <c r="G12" t="s">
        <v>37</v>
      </c>
      <c r="H12" t="s">
        <v>34</v>
      </c>
      <c r="I12" t="s">
        <v>69</v>
      </c>
      <c r="J12" t="s">
        <v>71</v>
      </c>
    </row>
    <row r="13" spans="1:10" ht="15.75" customHeight="1">
      <c r="A13" s="5" t="s">
        <v>45</v>
      </c>
      <c r="B13" t="s">
        <v>31</v>
      </c>
      <c r="C13" t="s">
        <v>11</v>
      </c>
      <c r="D13" t="s">
        <v>35</v>
      </c>
      <c r="E13" t="s">
        <v>36</v>
      </c>
      <c r="F13" t="s">
        <v>69</v>
      </c>
      <c r="G13" t="s">
        <v>37</v>
      </c>
      <c r="H13" t="s">
        <v>31</v>
      </c>
      <c r="I13" t="s">
        <v>69</v>
      </c>
      <c r="J13" t="s">
        <v>71</v>
      </c>
    </row>
    <row r="14" spans="1:10" ht="15.75" customHeight="1">
      <c r="A14" s="5" t="s">
        <v>62</v>
      </c>
      <c r="B14" t="s">
        <v>38</v>
      </c>
      <c r="C14" t="s">
        <v>8</v>
      </c>
      <c r="D14" t="s">
        <v>53</v>
      </c>
      <c r="E14" t="s">
        <v>38</v>
      </c>
      <c r="F14" t="s">
        <v>69</v>
      </c>
      <c r="G14" t="s">
        <v>69</v>
      </c>
      <c r="H14" t="s">
        <v>69</v>
      </c>
      <c r="I14" t="s">
        <v>69</v>
      </c>
      <c r="J14" t="s">
        <v>71</v>
      </c>
    </row>
    <row r="15" spans="1:10" ht="15.75" customHeight="1">
      <c r="A15" s="5" t="s">
        <v>63</v>
      </c>
      <c r="B15" t="s">
        <v>32</v>
      </c>
      <c r="C15" t="s">
        <v>10</v>
      </c>
      <c r="D15" t="s">
        <v>13</v>
      </c>
      <c r="E15" t="s">
        <v>69</v>
      </c>
      <c r="F15" t="s">
        <v>32</v>
      </c>
      <c r="G15" t="s">
        <v>69</v>
      </c>
      <c r="H15" t="s">
        <v>69</v>
      </c>
      <c r="I15" t="s">
        <v>69</v>
      </c>
      <c r="J15" t="s">
        <v>72</v>
      </c>
    </row>
    <row r="16" spans="1:10" ht="15.75" customHeight="1">
      <c r="A16" s="5" t="s">
        <v>46</v>
      </c>
      <c r="B16" t="s">
        <v>49</v>
      </c>
      <c r="C16" t="s">
        <v>8</v>
      </c>
      <c r="D16" t="s">
        <v>48</v>
      </c>
      <c r="E16" t="s">
        <v>49</v>
      </c>
      <c r="F16" t="s">
        <v>69</v>
      </c>
      <c r="G16" t="s">
        <v>50</v>
      </c>
      <c r="H16" t="s">
        <v>51</v>
      </c>
      <c r="I16" t="s">
        <v>69</v>
      </c>
      <c r="J16" t="s">
        <v>71</v>
      </c>
    </row>
    <row r="17" spans="1:10" ht="15.75" customHeight="1">
      <c r="A17" s="5" t="s">
        <v>87</v>
      </c>
      <c r="B17" t="s">
        <v>90</v>
      </c>
      <c r="C17" t="s">
        <v>8</v>
      </c>
      <c r="D17" t="s">
        <v>87</v>
      </c>
      <c r="E17" t="s">
        <v>90</v>
      </c>
      <c r="F17" t="s">
        <v>69</v>
      </c>
      <c r="G17" t="s">
        <v>69</v>
      </c>
      <c r="H17" t="s">
        <v>69</v>
      </c>
      <c r="I17" t="s">
        <v>69</v>
      </c>
      <c r="J17" t="s">
        <v>72</v>
      </c>
    </row>
    <row r="18" spans="1:10" ht="15.75" customHeight="1">
      <c r="A18" s="5" t="s">
        <v>64</v>
      </c>
      <c r="B18" t="s">
        <v>145</v>
      </c>
      <c r="C18" t="s">
        <v>8</v>
      </c>
      <c r="D18" t="s">
        <v>52</v>
      </c>
      <c r="E18" t="s">
        <v>39</v>
      </c>
      <c r="F18" t="s">
        <v>69</v>
      </c>
      <c r="G18" t="s">
        <v>145</v>
      </c>
      <c r="H18" t="s">
        <v>69</v>
      </c>
      <c r="I18" t="s">
        <v>69</v>
      </c>
      <c r="J18" t="s">
        <v>72</v>
      </c>
    </row>
    <row r="19" spans="1:10" ht="15.75" customHeight="1">
      <c r="A19" s="5" t="s">
        <v>85</v>
      </c>
      <c r="B19" s="7" t="s">
        <v>146</v>
      </c>
      <c r="C19" t="s">
        <v>8</v>
      </c>
      <c r="D19" t="s">
        <v>91</v>
      </c>
      <c r="E19" t="s">
        <v>92</v>
      </c>
      <c r="F19" t="s">
        <v>69</v>
      </c>
      <c r="G19" t="s">
        <v>93</v>
      </c>
      <c r="H19" t="s">
        <v>94</v>
      </c>
      <c r="I19" t="s">
        <v>95</v>
      </c>
      <c r="J19" t="s">
        <v>75</v>
      </c>
    </row>
    <row r="20" spans="1:10" ht="15.75" customHeight="1">
      <c r="A20" s="5" t="s">
        <v>47</v>
      </c>
      <c r="B20" t="s">
        <v>147</v>
      </c>
      <c r="C20" t="s">
        <v>8</v>
      </c>
      <c r="D20" t="s">
        <v>9</v>
      </c>
      <c r="E20" t="s">
        <v>18</v>
      </c>
      <c r="F20" t="s">
        <v>69</v>
      </c>
      <c r="G20" t="s">
        <v>69</v>
      </c>
      <c r="H20" t="s">
        <v>69</v>
      </c>
      <c r="I20" t="s">
        <v>69</v>
      </c>
      <c r="J20" t="s">
        <v>72</v>
      </c>
    </row>
    <row r="21" spans="1:10" ht="15.75" customHeight="1">
      <c r="A21" s="5" t="s">
        <v>84</v>
      </c>
      <c r="B21" t="s">
        <v>103</v>
      </c>
      <c r="C21" t="s">
        <v>8</v>
      </c>
      <c r="D21" t="s">
        <v>91</v>
      </c>
      <c r="E21" t="s">
        <v>101</v>
      </c>
      <c r="F21" t="s">
        <v>102</v>
      </c>
      <c r="G21" t="s">
        <v>103</v>
      </c>
      <c r="H21" t="s">
        <v>69</v>
      </c>
      <c r="I21" t="s">
        <v>69</v>
      </c>
      <c r="J21" t="s">
        <v>72</v>
      </c>
    </row>
    <row r="22" spans="1:10" ht="15.75" customHeight="1">
      <c r="A22" s="5" t="s">
        <v>88</v>
      </c>
      <c r="B22" t="s">
        <v>97</v>
      </c>
      <c r="C22" t="s">
        <v>8</v>
      </c>
      <c r="D22" t="s">
        <v>97</v>
      </c>
      <c r="E22" t="s">
        <v>98</v>
      </c>
      <c r="F22" t="s">
        <v>69</v>
      </c>
      <c r="G22" t="s">
        <v>69</v>
      </c>
      <c r="H22" t="s">
        <v>69</v>
      </c>
      <c r="I22" t="s">
        <v>69</v>
      </c>
      <c r="J22" t="s">
        <v>70</v>
      </c>
    </row>
    <row r="23" spans="1:10" ht="15.75" customHeight="1">
      <c r="A23" s="5" t="s">
        <v>86</v>
      </c>
      <c r="B23" s="7" t="s">
        <v>150</v>
      </c>
      <c r="C23" t="s">
        <v>8</v>
      </c>
      <c r="D23" t="s">
        <v>52</v>
      </c>
      <c r="E23" t="s">
        <v>104</v>
      </c>
      <c r="F23" t="s">
        <v>105</v>
      </c>
      <c r="G23" t="s">
        <v>106</v>
      </c>
      <c r="H23" t="s">
        <v>107</v>
      </c>
      <c r="I23" t="s">
        <v>108</v>
      </c>
      <c r="J23" t="s">
        <v>72</v>
      </c>
    </row>
    <row r="24" spans="1:10" ht="15.75" customHeight="1">
      <c r="A24" s="5" t="s">
        <v>96</v>
      </c>
      <c r="B24" t="s">
        <v>100</v>
      </c>
      <c r="C24" t="s">
        <v>8</v>
      </c>
      <c r="D24" t="s">
        <v>99</v>
      </c>
      <c r="E24" t="s">
        <v>100</v>
      </c>
      <c r="F24" t="s">
        <v>69</v>
      </c>
      <c r="G24" t="s">
        <v>69</v>
      </c>
      <c r="H24" t="s">
        <v>69</v>
      </c>
      <c r="I24" t="s">
        <v>69</v>
      </c>
      <c r="J24" t="s">
        <v>71</v>
      </c>
    </row>
    <row r="25" spans="1:10" ht="15.75" customHeight="1">
      <c r="A25" s="5" t="s">
        <v>110</v>
      </c>
      <c r="B25" t="s">
        <v>151</v>
      </c>
      <c r="C25" t="s">
        <v>8</v>
      </c>
      <c r="D25" t="s">
        <v>9</v>
      </c>
      <c r="E25" t="s">
        <v>109</v>
      </c>
      <c r="F25" t="s">
        <v>111</v>
      </c>
      <c r="G25" t="s">
        <v>112</v>
      </c>
      <c r="H25" t="s">
        <v>113</v>
      </c>
      <c r="I25" t="s">
        <v>114</v>
      </c>
      <c r="J25" t="s">
        <v>72</v>
      </c>
    </row>
    <row r="26" spans="1:10" ht="15.75" customHeight="1">
      <c r="A26" s="5" t="s">
        <v>115</v>
      </c>
      <c r="B26" t="s">
        <v>152</v>
      </c>
      <c r="C26" t="s">
        <v>8</v>
      </c>
      <c r="D26" t="s">
        <v>9</v>
      </c>
      <c r="E26" t="s">
        <v>109</v>
      </c>
      <c r="F26" t="s">
        <v>116</v>
      </c>
      <c r="G26" t="s">
        <v>69</v>
      </c>
      <c r="H26" t="s">
        <v>69</v>
      </c>
      <c r="I26" t="s">
        <v>69</v>
      </c>
      <c r="J26" t="s">
        <v>72</v>
      </c>
    </row>
    <row r="27" spans="1:10" ht="15.75" customHeight="1">
      <c r="A27" s="5" t="s">
        <v>117</v>
      </c>
      <c r="B27" t="s">
        <v>119</v>
      </c>
      <c r="C27" t="s">
        <v>8</v>
      </c>
      <c r="D27" t="s">
        <v>9</v>
      </c>
      <c r="E27" t="s">
        <v>118</v>
      </c>
      <c r="F27" t="s">
        <v>119</v>
      </c>
      <c r="G27" t="s">
        <v>69</v>
      </c>
      <c r="H27" t="s">
        <v>69</v>
      </c>
      <c r="I27" t="s">
        <v>69</v>
      </c>
      <c r="J27" t="s">
        <v>72</v>
      </c>
    </row>
    <row r="28" spans="1:10" ht="15.75" customHeight="1">
      <c r="A28" s="5" t="s">
        <v>120</v>
      </c>
      <c r="B28" s="7" t="s">
        <v>153</v>
      </c>
      <c r="C28" t="s">
        <v>8</v>
      </c>
      <c r="D28" t="s">
        <v>9</v>
      </c>
      <c r="E28" t="s">
        <v>18</v>
      </c>
      <c r="F28" t="s">
        <v>121</v>
      </c>
      <c r="G28" t="s">
        <v>122</v>
      </c>
      <c r="H28" t="s">
        <v>123</v>
      </c>
      <c r="I28" t="s">
        <v>124</v>
      </c>
      <c r="J28" t="s">
        <v>76</v>
      </c>
    </row>
    <row r="29" spans="1:10" ht="15.75" customHeight="1">
      <c r="A29" s="5" t="s">
        <v>125</v>
      </c>
      <c r="B29" t="s">
        <v>126</v>
      </c>
      <c r="C29" t="s">
        <v>8</v>
      </c>
      <c r="D29" t="s">
        <v>9</v>
      </c>
      <c r="E29" t="s">
        <v>18</v>
      </c>
      <c r="F29" t="s">
        <v>121</v>
      </c>
      <c r="G29" t="s">
        <v>126</v>
      </c>
      <c r="H29" t="s">
        <v>69</v>
      </c>
      <c r="I29" t="s">
        <v>69</v>
      </c>
      <c r="J29" t="s">
        <v>76</v>
      </c>
    </row>
    <row r="30" spans="1:10" ht="15.75" customHeight="1">
      <c r="A30" s="5" t="s">
        <v>127</v>
      </c>
      <c r="B30" t="s">
        <v>128</v>
      </c>
      <c r="C30" t="s">
        <v>8</v>
      </c>
      <c r="D30" t="s">
        <v>91</v>
      </c>
      <c r="E30" t="s">
        <v>101</v>
      </c>
      <c r="F30" t="s">
        <v>128</v>
      </c>
      <c r="G30" t="s">
        <v>69</v>
      </c>
      <c r="H30" t="s">
        <v>69</v>
      </c>
      <c r="I30" t="s">
        <v>69</v>
      </c>
      <c r="J30" t="s">
        <v>72</v>
      </c>
    </row>
    <row r="31" spans="1:10" ht="15.75" customHeight="1">
      <c r="A31" s="5" t="s">
        <v>129</v>
      </c>
      <c r="B31" t="s">
        <v>130</v>
      </c>
      <c r="C31" t="s">
        <v>8</v>
      </c>
      <c r="D31" t="s">
        <v>9</v>
      </c>
      <c r="E31" t="s">
        <v>18</v>
      </c>
      <c r="F31" t="s">
        <v>28</v>
      </c>
      <c r="G31" t="s">
        <v>130</v>
      </c>
      <c r="H31" t="s">
        <v>69</v>
      </c>
      <c r="I31" t="s">
        <v>69</v>
      </c>
      <c r="J31" t="s">
        <v>72</v>
      </c>
    </row>
    <row r="32" spans="1:10" ht="15.75" customHeight="1">
      <c r="A32" s="5" t="s">
        <v>131</v>
      </c>
      <c r="B32" s="7" t="s">
        <v>154</v>
      </c>
      <c r="C32" t="s">
        <v>8</v>
      </c>
      <c r="D32" t="s">
        <v>9</v>
      </c>
      <c r="E32" t="s">
        <v>14</v>
      </c>
      <c r="F32" t="s">
        <v>23</v>
      </c>
      <c r="G32" t="s">
        <v>132</v>
      </c>
      <c r="H32" t="s">
        <v>133</v>
      </c>
      <c r="I32" t="s">
        <v>134</v>
      </c>
      <c r="J32" t="s">
        <v>72</v>
      </c>
    </row>
    <row r="33" spans="1:10" ht="15.75" customHeight="1">
      <c r="A33" s="5" t="s">
        <v>135</v>
      </c>
      <c r="B33" t="s">
        <v>137</v>
      </c>
      <c r="C33" t="s">
        <v>8</v>
      </c>
      <c r="D33" t="s">
        <v>9</v>
      </c>
      <c r="E33" t="s">
        <v>136</v>
      </c>
      <c r="F33" t="s">
        <v>69</v>
      </c>
      <c r="G33" t="s">
        <v>137</v>
      </c>
      <c r="H33" t="s">
        <v>69</v>
      </c>
      <c r="I33" t="s">
        <v>69</v>
      </c>
      <c r="J33" t="s">
        <v>70</v>
      </c>
    </row>
    <row r="34" spans="1:10" ht="15.75" customHeight="1">
      <c r="A34" s="5" t="s">
        <v>155</v>
      </c>
      <c r="B34" t="s">
        <v>141</v>
      </c>
      <c r="C34" t="s">
        <v>8</v>
      </c>
      <c r="D34" t="s">
        <v>52</v>
      </c>
      <c r="E34" t="s">
        <v>104</v>
      </c>
      <c r="F34" t="s">
        <v>105</v>
      </c>
      <c r="G34" t="s">
        <v>141</v>
      </c>
      <c r="H34" t="s">
        <v>69</v>
      </c>
      <c r="I34" t="s">
        <v>69</v>
      </c>
      <c r="J34" t="s">
        <v>72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37898-8374-4DB9-9767-02354D3DC6A8}">
  <sheetPr codeName="Sheet2">
    <tabColor rgb="FF00B050"/>
  </sheetPr>
  <dimension ref="A2:AO28"/>
  <sheetViews>
    <sheetView zoomScale="99" workbookViewId="0">
      <pane xSplit="4" ySplit="2" topLeftCell="E3" activePane="bottomRight" state="frozen"/>
      <selection pane="topRight" activeCell="D1" sqref="D1"/>
      <selection pane="bottomLeft" activeCell="A3" sqref="A3"/>
      <selection pane="bottomRight" activeCell="J14" sqref="J14"/>
    </sheetView>
  </sheetViews>
  <sheetFormatPr defaultColWidth="12" defaultRowHeight="14.4"/>
  <cols>
    <col min="1" max="1" width="4.5546875" bestFit="1" customWidth="1"/>
    <col min="2" max="2" width="7.33203125" bestFit="1" customWidth="1"/>
    <col min="3" max="3" width="11.77734375" bestFit="1" customWidth="1"/>
    <col min="4" max="4" width="7.5546875" bestFit="1" customWidth="1"/>
    <col min="5" max="5" width="3.5546875" style="2" bestFit="1" customWidth="1"/>
    <col min="6" max="6" width="3.88671875" style="2" bestFit="1" customWidth="1"/>
    <col min="7" max="7" width="8.44140625" bestFit="1" customWidth="1"/>
    <col min="8" max="8" width="6.109375" bestFit="1" customWidth="1"/>
    <col min="9" max="9" width="13.21875" bestFit="1" customWidth="1"/>
    <col min="10" max="10" width="12.44140625" bestFit="1" customWidth="1"/>
    <col min="11" max="11" width="9.109375" bestFit="1" customWidth="1"/>
    <col min="12" max="12" width="9.44140625" bestFit="1" customWidth="1"/>
    <col min="13" max="13" width="12.109375" bestFit="1" customWidth="1"/>
    <col min="14" max="14" width="13.33203125" bestFit="1" customWidth="1"/>
    <col min="15" max="15" width="12.77734375" bestFit="1" customWidth="1"/>
    <col min="16" max="16" width="18.6640625" bestFit="1" customWidth="1"/>
    <col min="17" max="17" width="11.88671875" bestFit="1" customWidth="1"/>
    <col min="18" max="18" width="16.44140625" bestFit="1" customWidth="1"/>
    <col min="19" max="19" width="8.5546875" bestFit="1" customWidth="1"/>
    <col min="20" max="20" width="10.21875" bestFit="1" customWidth="1"/>
    <col min="21" max="21" width="11.109375" bestFit="1" customWidth="1"/>
    <col min="22" max="22" width="9.33203125" bestFit="1" customWidth="1"/>
    <col min="23" max="23" width="11.109375" bestFit="1" customWidth="1"/>
    <col min="24" max="24" width="10.5546875" bestFit="1" customWidth="1"/>
    <col min="25" max="25" width="12.77734375" bestFit="1" customWidth="1"/>
    <col min="26" max="26" width="16.33203125" bestFit="1" customWidth="1"/>
    <col min="27" max="27" width="15.88671875" bestFit="1" customWidth="1"/>
    <col min="28" max="28" width="9.44140625" bestFit="1" customWidth="1"/>
    <col min="29" max="29" width="10.77734375" bestFit="1" customWidth="1"/>
    <col min="30" max="30" width="18.5546875" bestFit="1" customWidth="1"/>
    <col min="31" max="31" width="7.6640625" bestFit="1" customWidth="1"/>
    <col min="32" max="32" width="23.33203125" bestFit="1" customWidth="1"/>
    <col min="33" max="33" width="14.88671875" bestFit="1" customWidth="1"/>
    <col min="34" max="34" width="8.21875" bestFit="1" customWidth="1"/>
    <col min="35" max="35" width="15.6640625" bestFit="1" customWidth="1"/>
    <col min="36" max="36" width="12.77734375" bestFit="1" customWidth="1"/>
    <col min="37" max="37" width="9.44140625" bestFit="1" customWidth="1"/>
    <col min="38" max="38" width="9.21875" bestFit="1" customWidth="1"/>
    <col min="39" max="39" width="21" bestFit="1" customWidth="1"/>
    <col min="40" max="40" width="9" bestFit="1" customWidth="1"/>
    <col min="41" max="41" width="10.88671875" bestFit="1" customWidth="1"/>
  </cols>
  <sheetData>
    <row r="2" spans="1:41" s="3" customFormat="1" ht="16.5" customHeight="1">
      <c r="A2" s="3" t="s">
        <v>142</v>
      </c>
      <c r="B2" s="3" t="s">
        <v>79</v>
      </c>
      <c r="C2" s="3" t="s">
        <v>78</v>
      </c>
      <c r="D2" s="3" t="s">
        <v>138</v>
      </c>
      <c r="E2" s="4" t="s">
        <v>1</v>
      </c>
      <c r="F2" s="4" t="s">
        <v>2</v>
      </c>
      <c r="G2" s="3" t="s">
        <v>77</v>
      </c>
      <c r="H2" s="3" t="s">
        <v>80</v>
      </c>
      <c r="I2" t="s">
        <v>15</v>
      </c>
      <c r="J2" t="s">
        <v>16</v>
      </c>
      <c r="K2" t="s">
        <v>17</v>
      </c>
      <c r="L2" t="s">
        <v>19</v>
      </c>
      <c r="M2" t="s">
        <v>0</v>
      </c>
      <c r="N2" t="s">
        <v>22</v>
      </c>
      <c r="O2" t="s">
        <v>148</v>
      </c>
      <c r="P2" t="s">
        <v>149</v>
      </c>
      <c r="Q2" t="s">
        <v>56</v>
      </c>
      <c r="R2" s="7" t="s">
        <v>144</v>
      </c>
      <c r="S2" t="s">
        <v>34</v>
      </c>
      <c r="T2" t="s">
        <v>31</v>
      </c>
      <c r="U2" t="s">
        <v>38</v>
      </c>
      <c r="V2" t="s">
        <v>32</v>
      </c>
      <c r="W2" t="s">
        <v>49</v>
      </c>
      <c r="X2" t="s">
        <v>90</v>
      </c>
      <c r="Y2" t="s">
        <v>145</v>
      </c>
      <c r="Z2" s="7" t="s">
        <v>146</v>
      </c>
      <c r="AA2" t="s">
        <v>147</v>
      </c>
      <c r="AB2" t="s">
        <v>103</v>
      </c>
      <c r="AC2" t="s">
        <v>97</v>
      </c>
      <c r="AD2" s="7" t="s">
        <v>150</v>
      </c>
      <c r="AE2" t="s">
        <v>100</v>
      </c>
      <c r="AF2" t="s">
        <v>151</v>
      </c>
      <c r="AG2" t="s">
        <v>152</v>
      </c>
      <c r="AH2" t="s">
        <v>119</v>
      </c>
      <c r="AI2" s="7" t="s">
        <v>153</v>
      </c>
      <c r="AJ2" t="s">
        <v>126</v>
      </c>
      <c r="AK2" t="s">
        <v>128</v>
      </c>
      <c r="AL2" t="s">
        <v>130</v>
      </c>
      <c r="AM2" s="7" t="s">
        <v>154</v>
      </c>
      <c r="AN2" t="s">
        <v>137</v>
      </c>
      <c r="AO2" t="s">
        <v>141</v>
      </c>
    </row>
    <row r="3" spans="1:41">
      <c r="A3" t="str">
        <f>_xlfn.CONCAT(LEFT(Data[[#This Row],[Method]]),LEFT(Data[[#This Row],[Location]]),Data[[#This Row],[Sample]])</f>
        <v>ND1</v>
      </c>
      <c r="B3" t="s">
        <v>139</v>
      </c>
      <c r="C3" t="s">
        <v>82</v>
      </c>
      <c r="D3">
        <v>1</v>
      </c>
      <c r="E3"/>
      <c r="F3"/>
      <c r="G3" s="1">
        <v>46168</v>
      </c>
      <c r="H3">
        <f t="shared" ref="H3:H26" si="0">SUM(I3:BM3)</f>
        <v>552</v>
      </c>
      <c r="M3">
        <v>4</v>
      </c>
      <c r="W3">
        <v>543</v>
      </c>
      <c r="X3">
        <v>1</v>
      </c>
      <c r="AA3">
        <v>4</v>
      </c>
    </row>
    <row r="4" spans="1:41">
      <c r="A4" t="str">
        <f>_xlfn.CONCAT(LEFT(Data[[#This Row],[Method]]),LEFT(Data[[#This Row],[Location]]),Data[[#This Row],[Sample]])</f>
        <v>ND2</v>
      </c>
      <c r="B4" t="s">
        <v>139</v>
      </c>
      <c r="C4" t="s">
        <v>82</v>
      </c>
      <c r="D4">
        <v>2</v>
      </c>
      <c r="E4"/>
      <c r="F4"/>
      <c r="G4" s="1">
        <v>46168</v>
      </c>
      <c r="H4">
        <f t="shared" si="0"/>
        <v>2</v>
      </c>
      <c r="M4">
        <v>2</v>
      </c>
    </row>
    <row r="5" spans="1:41">
      <c r="A5" t="str">
        <f>_xlfn.CONCAT(LEFT(Data[[#This Row],[Method]]),LEFT(Data[[#This Row],[Location]]),Data[[#This Row],[Sample]])</f>
        <v>ND3</v>
      </c>
      <c r="B5" t="s">
        <v>139</v>
      </c>
      <c r="C5" t="s">
        <v>82</v>
      </c>
      <c r="D5">
        <v>3</v>
      </c>
      <c r="G5" s="1">
        <v>46168</v>
      </c>
      <c r="H5">
        <f t="shared" si="0"/>
        <v>247</v>
      </c>
      <c r="K5">
        <v>4</v>
      </c>
      <c r="W5">
        <f>9*27</f>
        <v>243</v>
      </c>
    </row>
    <row r="6" spans="1:41">
      <c r="A6" t="str">
        <f>_xlfn.CONCAT(LEFT(Data[[#This Row],[Method]]),LEFT(Data[[#This Row],[Location]]),Data[[#This Row],[Sample]])</f>
        <v>ND4</v>
      </c>
      <c r="B6" t="s">
        <v>139</v>
      </c>
      <c r="C6" t="s">
        <v>82</v>
      </c>
      <c r="D6">
        <v>4</v>
      </c>
      <c r="G6" s="1">
        <v>46168</v>
      </c>
      <c r="H6">
        <f t="shared" si="0"/>
        <v>1702</v>
      </c>
      <c r="K6">
        <v>2</v>
      </c>
      <c r="M6">
        <v>11</v>
      </c>
      <c r="W6">
        <v>1686</v>
      </c>
      <c r="X6">
        <v>3</v>
      </c>
    </row>
    <row r="7" spans="1:41">
      <c r="A7" t="str">
        <f>_xlfn.CONCAT(LEFT(Data[[#This Row],[Method]]),LEFT(Data[[#This Row],[Location]]),Data[[#This Row],[Sample]])</f>
        <v>NP1</v>
      </c>
      <c r="B7" t="s">
        <v>139</v>
      </c>
      <c r="C7" t="s">
        <v>81</v>
      </c>
      <c r="D7">
        <v>1</v>
      </c>
      <c r="G7" s="1">
        <v>46168</v>
      </c>
      <c r="H7">
        <f t="shared" si="0"/>
        <v>4120</v>
      </c>
      <c r="K7">
        <v>1</v>
      </c>
      <c r="L7">
        <v>1</v>
      </c>
      <c r="M7">
        <v>3</v>
      </c>
      <c r="N7">
        <v>1</v>
      </c>
      <c r="O7">
        <v>2</v>
      </c>
      <c r="P7">
        <v>3</v>
      </c>
      <c r="U7">
        <v>3</v>
      </c>
      <c r="W7">
        <v>4104</v>
      </c>
      <c r="AA7">
        <v>1</v>
      </c>
      <c r="AF7">
        <v>1</v>
      </c>
    </row>
    <row r="8" spans="1:41">
      <c r="A8" t="str">
        <f>_xlfn.CONCAT(LEFT(Data[[#This Row],[Method]]),LEFT(Data[[#This Row],[Location]]),Data[[#This Row],[Sample]])</f>
        <v>NP2</v>
      </c>
      <c r="B8" t="s">
        <v>139</v>
      </c>
      <c r="C8" t="s">
        <v>81</v>
      </c>
      <c r="D8">
        <v>2</v>
      </c>
      <c r="G8" s="1">
        <v>46168</v>
      </c>
      <c r="H8">
        <f t="shared" si="0"/>
        <v>21169</v>
      </c>
      <c r="J8">
        <v>3</v>
      </c>
      <c r="K8">
        <v>16</v>
      </c>
      <c r="M8">
        <v>6</v>
      </c>
      <c r="P8">
        <v>2</v>
      </c>
      <c r="W8">
        <v>21141</v>
      </c>
      <c r="AA8">
        <v>1</v>
      </c>
    </row>
    <row r="9" spans="1:41">
      <c r="A9" t="str">
        <f>_xlfn.CONCAT(LEFT(Data[[#This Row],[Method]]),LEFT(Data[[#This Row],[Location]]),Data[[#This Row],[Sample]])</f>
        <v>NP3</v>
      </c>
      <c r="B9" t="s">
        <v>139</v>
      </c>
      <c r="C9" t="s">
        <v>81</v>
      </c>
      <c r="D9">
        <v>3</v>
      </c>
      <c r="G9" s="1">
        <v>46168</v>
      </c>
      <c r="H9">
        <f t="shared" si="0"/>
        <v>3797</v>
      </c>
      <c r="I9">
        <v>3</v>
      </c>
      <c r="J9">
        <v>1</v>
      </c>
      <c r="N9">
        <v>3</v>
      </c>
      <c r="T9">
        <v>1</v>
      </c>
      <c r="U9">
        <v>8</v>
      </c>
      <c r="W9">
        <v>3780</v>
      </c>
      <c r="X9">
        <v>1</v>
      </c>
    </row>
    <row r="10" spans="1:41">
      <c r="A10" t="str">
        <f>_xlfn.CONCAT(LEFT(Data[[#This Row],[Method]]),LEFT(Data[[#This Row],[Location]]),Data[[#This Row],[Sample]])</f>
        <v>NP4</v>
      </c>
      <c r="B10" t="s">
        <v>139</v>
      </c>
      <c r="C10" t="s">
        <v>81</v>
      </c>
      <c r="D10">
        <v>4</v>
      </c>
      <c r="G10" s="1">
        <v>46168</v>
      </c>
      <c r="H10">
        <f t="shared" si="0"/>
        <v>1644</v>
      </c>
      <c r="P10">
        <v>1</v>
      </c>
      <c r="U10">
        <v>3</v>
      </c>
      <c r="W10">
        <f>1593+45</f>
        <v>1638</v>
      </c>
      <c r="Y10">
        <v>1</v>
      </c>
      <c r="AC10">
        <v>1</v>
      </c>
    </row>
    <row r="11" spans="1:41">
      <c r="A11" t="str">
        <f>_xlfn.CONCAT(LEFT(Data[[#This Row],[Method]]),LEFT(Data[[#This Row],[Location]]),Data[[#This Row],[Sample]])</f>
        <v>NI1</v>
      </c>
      <c r="B11" t="s">
        <v>139</v>
      </c>
      <c r="C11" t="s">
        <v>83</v>
      </c>
      <c r="D11">
        <v>1</v>
      </c>
      <c r="G11" s="1">
        <v>46168</v>
      </c>
      <c r="H11">
        <f t="shared" si="0"/>
        <v>94</v>
      </c>
      <c r="K11">
        <v>1</v>
      </c>
      <c r="N11">
        <v>1</v>
      </c>
      <c r="O11">
        <v>17</v>
      </c>
      <c r="P11">
        <v>18</v>
      </c>
      <c r="Q11">
        <v>2</v>
      </c>
      <c r="W11">
        <v>37</v>
      </c>
      <c r="X11">
        <v>5</v>
      </c>
      <c r="Y11">
        <v>2</v>
      </c>
      <c r="Z11">
        <v>8</v>
      </c>
      <c r="AA11">
        <v>1</v>
      </c>
      <c r="AC11">
        <v>1</v>
      </c>
      <c r="AD11">
        <v>1</v>
      </c>
    </row>
    <row r="12" spans="1:41">
      <c r="A12" t="str">
        <f>_xlfn.CONCAT(LEFT(Data[[#This Row],[Method]]),LEFT(Data[[#This Row],[Location]]),Data[[#This Row],[Sample]])</f>
        <v>NI2</v>
      </c>
      <c r="B12" t="s">
        <v>139</v>
      </c>
      <c r="C12" t="s">
        <v>83</v>
      </c>
      <c r="D12">
        <v>2</v>
      </c>
      <c r="G12" s="1">
        <v>46168</v>
      </c>
      <c r="H12">
        <f t="shared" si="0"/>
        <v>2988</v>
      </c>
      <c r="M12">
        <v>2</v>
      </c>
      <c r="W12">
        <v>2986</v>
      </c>
    </row>
    <row r="13" spans="1:41">
      <c r="A13" t="str">
        <f>_xlfn.CONCAT(LEFT(Data[[#This Row],[Method]]),LEFT(Data[[#This Row],[Location]]),Data[[#This Row],[Sample]])</f>
        <v>NI3</v>
      </c>
      <c r="B13" t="s">
        <v>139</v>
      </c>
      <c r="C13" t="s">
        <v>83</v>
      </c>
      <c r="D13">
        <v>3</v>
      </c>
      <c r="E13"/>
      <c r="F13"/>
      <c r="G13" s="1">
        <v>46168</v>
      </c>
      <c r="H13">
        <f t="shared" si="0"/>
        <v>1170</v>
      </c>
      <c r="K13">
        <v>81</v>
      </c>
      <c r="O13">
        <v>2</v>
      </c>
      <c r="T13">
        <v>1</v>
      </c>
      <c r="W13">
        <v>1080</v>
      </c>
      <c r="Y13">
        <v>5</v>
      </c>
      <c r="AG13">
        <v>1</v>
      </c>
    </row>
    <row r="14" spans="1:41">
      <c r="A14" t="str">
        <f>_xlfn.CONCAT(LEFT(Data[[#This Row],[Method]]),LEFT(Data[[#This Row],[Location]]),Data[[#This Row],[Sample]])</f>
        <v>NI4</v>
      </c>
      <c r="B14" t="s">
        <v>139</v>
      </c>
      <c r="C14" t="s">
        <v>83</v>
      </c>
      <c r="D14">
        <v>4</v>
      </c>
      <c r="E14"/>
      <c r="F14"/>
      <c r="G14" s="1">
        <v>46168</v>
      </c>
      <c r="H14">
        <f t="shared" si="0"/>
        <v>323</v>
      </c>
      <c r="J14">
        <v>6</v>
      </c>
      <c r="K14">
        <v>5</v>
      </c>
      <c r="N14">
        <v>15</v>
      </c>
      <c r="O14">
        <v>14</v>
      </c>
      <c r="P14">
        <v>2</v>
      </c>
      <c r="Q14">
        <v>1</v>
      </c>
      <c r="W14">
        <v>270</v>
      </c>
      <c r="X14">
        <v>1</v>
      </c>
      <c r="Y14">
        <v>5</v>
      </c>
      <c r="Z14">
        <v>3</v>
      </c>
      <c r="AH14">
        <v>1</v>
      </c>
    </row>
    <row r="15" spans="1:41">
      <c r="A15" t="str">
        <f>_xlfn.CONCAT(LEFT(Data[[#This Row],[Method]]),LEFT(Data[[#This Row],[Location]]),Data[[#This Row],[Sample]])</f>
        <v>VD1</v>
      </c>
      <c r="B15" t="s">
        <v>140</v>
      </c>
      <c r="C15" t="s">
        <v>82</v>
      </c>
      <c r="D15">
        <v>1</v>
      </c>
      <c r="E15"/>
      <c r="F15"/>
      <c r="G15" s="1">
        <v>46174</v>
      </c>
      <c r="H15">
        <f t="shared" si="0"/>
        <v>6</v>
      </c>
      <c r="M15">
        <v>2</v>
      </c>
      <c r="O15">
        <v>1</v>
      </c>
      <c r="AI15">
        <v>2</v>
      </c>
      <c r="AJ15">
        <v>1</v>
      </c>
    </row>
    <row r="16" spans="1:41">
      <c r="A16" t="str">
        <f>_xlfn.CONCAT(LEFT(Data[[#This Row],[Method]]),LEFT(Data[[#This Row],[Location]]),Data[[#This Row],[Sample]])</f>
        <v>VD2</v>
      </c>
      <c r="B16" t="s">
        <v>140</v>
      </c>
      <c r="C16" t="s">
        <v>82</v>
      </c>
      <c r="D16">
        <v>2</v>
      </c>
      <c r="E16"/>
      <c r="F16"/>
      <c r="G16" s="1">
        <v>46174</v>
      </c>
      <c r="H16">
        <f t="shared" si="0"/>
        <v>13</v>
      </c>
      <c r="M16">
        <v>4</v>
      </c>
      <c r="N16">
        <v>1</v>
      </c>
      <c r="O16">
        <v>1</v>
      </c>
      <c r="P16">
        <v>1</v>
      </c>
      <c r="R16">
        <v>1</v>
      </c>
      <c r="S16">
        <v>2</v>
      </c>
      <c r="AE16">
        <v>1</v>
      </c>
      <c r="AJ16">
        <v>1</v>
      </c>
      <c r="AK16">
        <v>1</v>
      </c>
    </row>
    <row r="17" spans="1:41">
      <c r="A17" t="str">
        <f>_xlfn.CONCAT(LEFT(Data[[#This Row],[Method]]),LEFT(Data[[#This Row],[Location]]),Data[[#This Row],[Sample]])</f>
        <v>VD3</v>
      </c>
      <c r="B17" t="s">
        <v>140</v>
      </c>
      <c r="C17" t="s">
        <v>82</v>
      </c>
      <c r="D17">
        <v>3</v>
      </c>
      <c r="E17"/>
      <c r="F17"/>
      <c r="G17" s="1">
        <v>46174</v>
      </c>
      <c r="H17">
        <f t="shared" si="0"/>
        <v>2</v>
      </c>
      <c r="M17">
        <v>1</v>
      </c>
      <c r="O17">
        <v>1</v>
      </c>
    </row>
    <row r="18" spans="1:41">
      <c r="A18" t="str">
        <f>_xlfn.CONCAT(LEFT(Data[[#This Row],[Method]]),LEFT(Data[[#This Row],[Location]]),Data[[#This Row],[Sample]])</f>
        <v>VD4</v>
      </c>
      <c r="B18" t="s">
        <v>140</v>
      </c>
      <c r="C18" t="s">
        <v>82</v>
      </c>
      <c r="D18">
        <v>4</v>
      </c>
      <c r="E18"/>
      <c r="F18"/>
      <c r="G18" s="1">
        <v>46174</v>
      </c>
      <c r="H18">
        <f t="shared" si="0"/>
        <v>17</v>
      </c>
      <c r="M18">
        <v>12</v>
      </c>
      <c r="N18">
        <v>3</v>
      </c>
      <c r="O18">
        <v>1</v>
      </c>
      <c r="AB18">
        <v>1</v>
      </c>
    </row>
    <row r="19" spans="1:41">
      <c r="A19" t="str">
        <f>_xlfn.CONCAT(LEFT(Data[[#This Row],[Method]]),LEFT(Data[[#This Row],[Location]]),Data[[#This Row],[Sample]])</f>
        <v>VP1</v>
      </c>
      <c r="B19" t="s">
        <v>140</v>
      </c>
      <c r="C19" t="s">
        <v>81</v>
      </c>
      <c r="D19">
        <v>1</v>
      </c>
      <c r="E19"/>
      <c r="F19"/>
      <c r="G19" s="1">
        <v>46174</v>
      </c>
      <c r="H19">
        <f t="shared" si="0"/>
        <v>573</v>
      </c>
      <c r="M19">
        <f>4*27</f>
        <v>108</v>
      </c>
      <c r="N19">
        <f>3*27</f>
        <v>81</v>
      </c>
      <c r="U19">
        <f>2*27</f>
        <v>54</v>
      </c>
      <c r="W19">
        <f>4*27</f>
        <v>108</v>
      </c>
      <c r="AA19">
        <f>3*27+4</f>
        <v>85</v>
      </c>
      <c r="AC19">
        <f>5*27</f>
        <v>135</v>
      </c>
      <c r="AO19">
        <v>2</v>
      </c>
    </row>
    <row r="20" spans="1:41">
      <c r="A20" t="str">
        <f>_xlfn.CONCAT(LEFT(Data[[#This Row],[Method]]),LEFT(Data[[#This Row],[Location]]),Data[[#This Row],[Sample]])</f>
        <v>VP2</v>
      </c>
      <c r="B20" t="s">
        <v>140</v>
      </c>
      <c r="C20" t="s">
        <v>81</v>
      </c>
      <c r="D20">
        <v>2</v>
      </c>
      <c r="E20"/>
      <c r="F20"/>
      <c r="G20" s="1">
        <v>46174</v>
      </c>
      <c r="H20">
        <f t="shared" si="0"/>
        <v>906</v>
      </c>
      <c r="K20">
        <v>1</v>
      </c>
      <c r="M20">
        <f>16*27</f>
        <v>432</v>
      </c>
      <c r="N20">
        <f>13*27</f>
        <v>351</v>
      </c>
      <c r="O20">
        <v>1</v>
      </c>
      <c r="U20">
        <v>1</v>
      </c>
      <c r="V20">
        <f>4*27+9</f>
        <v>117</v>
      </c>
      <c r="Y20">
        <v>1</v>
      </c>
      <c r="AE20">
        <v>2</v>
      </c>
    </row>
    <row r="21" spans="1:41">
      <c r="A21" t="str">
        <f>_xlfn.CONCAT(LEFT(Data[[#This Row],[Method]]),LEFT(Data[[#This Row],[Location]]),Data[[#This Row],[Sample]])</f>
        <v>VP3</v>
      </c>
      <c r="B21" t="s">
        <v>140</v>
      </c>
      <c r="C21" t="s">
        <v>81</v>
      </c>
      <c r="D21">
        <v>3</v>
      </c>
      <c r="E21"/>
      <c r="F21"/>
      <c r="G21" s="1">
        <v>46174</v>
      </c>
      <c r="H21">
        <f t="shared" si="0"/>
        <v>892</v>
      </c>
      <c r="L21">
        <f>4*27</f>
        <v>108</v>
      </c>
      <c r="N21">
        <f>11*27</f>
        <v>297</v>
      </c>
      <c r="Q21">
        <v>1</v>
      </c>
      <c r="U21">
        <f>7*27</f>
        <v>189</v>
      </c>
      <c r="W21">
        <f>5*27</f>
        <v>135</v>
      </c>
      <c r="AA21">
        <f>3*27</f>
        <v>81</v>
      </c>
      <c r="AC21">
        <v>81</v>
      </c>
    </row>
    <row r="22" spans="1:41">
      <c r="A22" t="str">
        <f>_xlfn.CONCAT(LEFT(Data[[#This Row],[Method]]),LEFT(Data[[#This Row],[Location]]),Data[[#This Row],[Sample]])</f>
        <v>VP4</v>
      </c>
      <c r="B22" t="s">
        <v>140</v>
      </c>
      <c r="C22" t="s">
        <v>81</v>
      </c>
      <c r="D22">
        <v>4</v>
      </c>
      <c r="E22"/>
      <c r="F22"/>
      <c r="G22" s="1">
        <v>46174</v>
      </c>
      <c r="H22">
        <f t="shared" si="0"/>
        <v>306</v>
      </c>
      <c r="L22">
        <v>7</v>
      </c>
      <c r="N22">
        <v>81</v>
      </c>
      <c r="U22">
        <v>81</v>
      </c>
      <c r="X22">
        <f>2*27</f>
        <v>54</v>
      </c>
      <c r="AA22">
        <v>2</v>
      </c>
      <c r="AC22">
        <v>81</v>
      </c>
    </row>
    <row r="23" spans="1:41">
      <c r="A23" t="str">
        <f>_xlfn.CONCAT(LEFT(Data[[#This Row],[Method]]),LEFT(Data[[#This Row],[Location]]),Data[[#This Row],[Sample]])</f>
        <v>VI1</v>
      </c>
      <c r="B23" t="s">
        <v>140</v>
      </c>
      <c r="C23" t="s">
        <v>83</v>
      </c>
      <c r="D23">
        <v>1</v>
      </c>
      <c r="E23"/>
      <c r="F23"/>
      <c r="G23" s="1">
        <v>46174</v>
      </c>
      <c r="H23">
        <f t="shared" si="0"/>
        <v>32</v>
      </c>
      <c r="L23">
        <v>3</v>
      </c>
      <c r="O23">
        <v>1</v>
      </c>
      <c r="P23">
        <v>5</v>
      </c>
      <c r="Q23">
        <v>1</v>
      </c>
      <c r="U23">
        <v>12</v>
      </c>
      <c r="Y23">
        <v>1</v>
      </c>
      <c r="Z23">
        <v>1</v>
      </c>
      <c r="AC23">
        <v>2</v>
      </c>
      <c r="AE23">
        <v>4</v>
      </c>
      <c r="AL23">
        <v>1</v>
      </c>
      <c r="AM23">
        <v>1</v>
      </c>
    </row>
    <row r="24" spans="1:41">
      <c r="A24" t="str">
        <f>_xlfn.CONCAT(LEFT(Data[[#This Row],[Method]]),LEFT(Data[[#This Row],[Location]]),Data[[#This Row],[Sample]])</f>
        <v>VI2</v>
      </c>
      <c r="B24" t="s">
        <v>140</v>
      </c>
      <c r="C24" t="s">
        <v>83</v>
      </c>
      <c r="D24">
        <v>2</v>
      </c>
      <c r="E24"/>
      <c r="F24"/>
      <c r="G24" s="1">
        <v>46174</v>
      </c>
      <c r="H24">
        <f t="shared" si="0"/>
        <v>334</v>
      </c>
      <c r="K24">
        <v>1</v>
      </c>
      <c r="N24">
        <v>54</v>
      </c>
      <c r="O24">
        <v>82</v>
      </c>
      <c r="P24">
        <f>5*27</f>
        <v>135</v>
      </c>
      <c r="W24">
        <v>54</v>
      </c>
      <c r="Y24">
        <v>1</v>
      </c>
      <c r="AE24">
        <v>6</v>
      </c>
      <c r="AN24">
        <v>1</v>
      </c>
    </row>
    <row r="25" spans="1:41">
      <c r="A25" t="str">
        <f>_xlfn.CONCAT(LEFT(Data[[#This Row],[Method]]),LEFT(Data[[#This Row],[Location]]),Data[[#This Row],[Sample]])</f>
        <v>VI3</v>
      </c>
      <c r="B25" t="s">
        <v>140</v>
      </c>
      <c r="C25" t="s">
        <v>83</v>
      </c>
      <c r="D25">
        <v>3</v>
      </c>
      <c r="E25"/>
      <c r="F25"/>
      <c r="G25" s="1">
        <v>46174</v>
      </c>
      <c r="H25">
        <f t="shared" si="0"/>
        <v>312</v>
      </c>
      <c r="K25">
        <v>2</v>
      </c>
      <c r="O25">
        <v>7</v>
      </c>
      <c r="P25">
        <v>19</v>
      </c>
      <c r="W25">
        <f>6*27</f>
        <v>162</v>
      </c>
      <c r="X25">
        <v>54</v>
      </c>
      <c r="Y25">
        <v>54</v>
      </c>
      <c r="Z25">
        <v>1</v>
      </c>
      <c r="AE25">
        <v>12</v>
      </c>
      <c r="AN25">
        <v>1</v>
      </c>
    </row>
    <row r="26" spans="1:41">
      <c r="A26" t="str">
        <f>_xlfn.CONCAT(LEFT(Data[[#This Row],[Method]]),LEFT(Data[[#This Row],[Location]]),Data[[#This Row],[Sample]])</f>
        <v>VI4</v>
      </c>
      <c r="B26" t="s">
        <v>140</v>
      </c>
      <c r="C26" t="s">
        <v>83</v>
      </c>
      <c r="D26">
        <v>4</v>
      </c>
      <c r="E26"/>
      <c r="F26"/>
      <c r="G26" s="1">
        <v>46174</v>
      </c>
      <c r="H26">
        <f t="shared" si="0"/>
        <v>460</v>
      </c>
      <c r="N26">
        <f>5*27</f>
        <v>135</v>
      </c>
      <c r="O26">
        <v>54</v>
      </c>
      <c r="P26">
        <v>135</v>
      </c>
      <c r="Q26">
        <v>1</v>
      </c>
      <c r="U26">
        <v>27</v>
      </c>
      <c r="W26">
        <v>81</v>
      </c>
      <c r="X26">
        <v>27</v>
      </c>
    </row>
    <row r="28" spans="1:41">
      <c r="M28" t="s">
        <v>68</v>
      </c>
    </row>
  </sheetData>
  <phoneticPr fontId="2" type="noConversion"/>
  <conditionalFormatting sqref="H3:H26">
    <cfRule type="colorScale" priority="1">
      <colorScale>
        <cfvo type="min"/>
        <cfvo type="percentile" val="50"/>
        <cfvo type="num" val="5000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C1:C1048576" xr:uid="{E7690721-C58C-4F1D-86AF-1020CC06C47F}">
      <formula1>"Location, Drained, Paludiculture, Ilperveld"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74f1bc0-b684-499e-ac67-d1c4f7913d1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DDBEF96B68DE4D93ED2F6B98FDABE2" ma:contentTypeVersion="8" ma:contentTypeDescription="Een nieuw document maken." ma:contentTypeScope="" ma:versionID="52fcc6cc48b91a1aa645d02bf31d671d">
  <xsd:schema xmlns:xsd="http://www.w3.org/2001/XMLSchema" xmlns:xs="http://www.w3.org/2001/XMLSchema" xmlns:p="http://schemas.microsoft.com/office/2006/metadata/properties" xmlns:ns3="f74f1bc0-b684-499e-ac67-d1c4f7913d16" xmlns:ns4="52230aaf-7f92-483e-a1e0-581cd0412c10" targetNamespace="http://schemas.microsoft.com/office/2006/metadata/properties" ma:root="true" ma:fieldsID="cbb42c89ac834cdbbf167908459fdf54" ns3:_="" ns4:_="">
    <xsd:import namespace="f74f1bc0-b684-499e-ac67-d1c4f7913d16"/>
    <xsd:import namespace="52230aaf-7f92-483e-a1e0-581cd0412c1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4f1bc0-b684-499e-ac67-d1c4f7913d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230aaf-7f92-483e-a1e0-581cd0412c1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int-hash delen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768002-0C19-4BC1-992E-810D17E1F4E4}">
  <ds:schemaRefs>
    <ds:schemaRef ds:uri="52230aaf-7f92-483e-a1e0-581cd0412c10"/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f74f1bc0-b684-499e-ac67-d1c4f7913d16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BF6BFED-AC57-443D-A4F2-91B0EC2B1F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EE0D0A-7D45-453D-8C78-CDDCA50235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4f1bc0-b684-499e-ac67-d1c4f7913d16"/>
    <ds:schemaRef ds:uri="52230aaf-7f92-483e-a1e0-581cd0412c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Database</vt:lpstr>
      <vt:lpstr>Taxonlist</vt:lpstr>
      <vt:lpstr>Raw_Data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Finn van Houts</dc:creator>
  <cp:keywords/>
  <dc:description/>
  <cp:lastModifiedBy>Finn van Houts</cp:lastModifiedBy>
  <cp:revision/>
  <dcterms:created xsi:type="dcterms:W3CDTF">2025-06-10T15:39:06Z</dcterms:created>
  <dcterms:modified xsi:type="dcterms:W3CDTF">2026-06-25T21:47:05Z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0x01010015DDBEF96B68DE4D93ED2F6B98FDABE2</vt:lpwstr>
  </property>
</Properties>
</file>